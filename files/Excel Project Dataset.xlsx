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drawings/drawing2.xml" ContentType="application/vnd.openxmlformats-officedocument.drawing+xml"/>
  <Override PartName="/xl/slicers/slicer1.xml" ContentType="application/vnd.ms-excel.slicer+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hidePivotFieldList="1" defaultThemeVersion="166925"/>
  <mc:AlternateContent xmlns:mc="http://schemas.openxmlformats.org/markup-compatibility/2006">
    <mc:Choice Requires="x15">
      <x15ac:absPath xmlns:x15ac="http://schemas.microsoft.com/office/spreadsheetml/2010/11/ac" url="E:\advance_excel\files\"/>
    </mc:Choice>
  </mc:AlternateContent>
  <xr:revisionPtr revIDLastSave="0" documentId="13_ncr:1_{313C4D9D-98DA-4512-890D-A7F146DDB7E6}" xr6:coauthVersionLast="47" xr6:coauthVersionMax="47" xr10:uidLastSave="{00000000-0000-0000-0000-000000000000}"/>
  <bookViews>
    <workbookView xWindow="-108" yWindow="-108" windowWidth="23256" windowHeight="12456" activeTab="3" xr2:uid="{00000000-000D-0000-FFFF-FFFF00000000}"/>
  </bookViews>
  <sheets>
    <sheet name="bike_buyers" sheetId="1" r:id="rId1"/>
    <sheet name="working_sheet" sheetId="2" r:id="rId2"/>
    <sheet name="Pivot Table" sheetId="3" r:id="rId3"/>
    <sheet name="Dashboard" sheetId="4" r:id="rId4"/>
  </sheets>
  <definedNames>
    <definedName name="_xlnm._FilterDatabase" localSheetId="0" hidden="1">bike_buyers!$A$1:$M$1001</definedName>
    <definedName name="_xlnm._FilterDatabase" localSheetId="1" hidden="1">working_sheet!$A$1:$N$1</definedName>
    <definedName name="Slicer_Education">#N/A</definedName>
    <definedName name="Slicer_Marital_Status">#N/A</definedName>
    <definedName name="Slicer_Region">#N/A</definedName>
  </definedNames>
  <calcPr calcId="191029"/>
  <pivotCaches>
    <pivotCache cacheId="18" r:id="rId5"/>
  </pivotCaches>
  <extLst>
    <ext xmlns:x14="http://schemas.microsoft.com/office/spreadsheetml/2009/9/main" uri="{BBE1A952-AA13-448e-AADC-164F8A28A991}">
      <x14:slicerCaches>
        <x14:slicerCache r:id="rId6"/>
        <x14:slicerCache r:id="rId7"/>
        <x14:slicerCache r:id="rId8"/>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2" i="2" l="1" a="1"/>
  <c r="M2" i="2" s="1"/>
  <c r="M3" i="2" a="1"/>
  <c r="M3" i="2" s="1"/>
  <c r="M4" i="2" a="1"/>
  <c r="M4" i="2" s="1"/>
  <c r="M5" i="2" a="1"/>
  <c r="M5" i="2" s="1"/>
  <c r="M6" i="2" a="1"/>
  <c r="M6" i="2" s="1"/>
  <c r="M7" i="2" a="1"/>
  <c r="M7" i="2" s="1"/>
  <c r="M8" i="2" a="1"/>
  <c r="M8" i="2" s="1"/>
  <c r="M9" i="2" a="1"/>
  <c r="M9" i="2" s="1"/>
  <c r="M10" i="2" a="1"/>
  <c r="M10" i="2" s="1"/>
  <c r="M11" i="2" a="1"/>
  <c r="M11" i="2" s="1"/>
  <c r="M12" i="2" a="1"/>
  <c r="M12" i="2" s="1"/>
  <c r="M13" i="2" a="1"/>
  <c r="M13" i="2" s="1"/>
  <c r="M14" i="2" a="1"/>
  <c r="M14" i="2" s="1"/>
  <c r="M15" i="2" a="1"/>
  <c r="M15" i="2" s="1"/>
  <c r="M16" i="2" a="1"/>
  <c r="M16" i="2" s="1"/>
  <c r="M17" i="2" a="1"/>
  <c r="M17" i="2" s="1"/>
  <c r="M18" i="2" a="1"/>
  <c r="M18" i="2"/>
  <c r="M19" i="2" a="1"/>
  <c r="M19" i="2" s="1"/>
  <c r="M20" i="2" a="1"/>
  <c r="M20" i="2" s="1"/>
  <c r="M21" i="2" a="1"/>
  <c r="M21" i="2" s="1"/>
  <c r="M22" i="2" a="1"/>
  <c r="M22" i="2" s="1"/>
  <c r="M23" i="2" a="1"/>
  <c r="M23" i="2" s="1"/>
  <c r="M24" i="2" a="1"/>
  <c r="M24" i="2" s="1"/>
  <c r="M25" i="2" a="1"/>
  <c r="M25" i="2" s="1"/>
  <c r="M26" i="2" a="1"/>
  <c r="M26" i="2"/>
  <c r="M27" i="2" a="1"/>
  <c r="M27" i="2" s="1"/>
  <c r="M28" i="2" a="1"/>
  <c r="M28" i="2" s="1"/>
  <c r="M29" i="2" a="1"/>
  <c r="M29" i="2" s="1"/>
  <c r="M30" i="2" a="1"/>
  <c r="M30" i="2" s="1"/>
  <c r="M31" i="2" a="1"/>
  <c r="M31" i="2" s="1"/>
  <c r="M32" i="2" a="1"/>
  <c r="M32" i="2" s="1"/>
  <c r="M33" i="2" a="1"/>
  <c r="M33" i="2" s="1"/>
  <c r="M34" i="2" a="1"/>
  <c r="M34" i="2"/>
  <c r="M35" i="2" a="1"/>
  <c r="M35" i="2" s="1"/>
  <c r="M36" i="2" a="1"/>
  <c r="M36" i="2" s="1"/>
  <c r="M37" i="2" a="1"/>
  <c r="M37" i="2" s="1"/>
  <c r="M38" i="2" a="1"/>
  <c r="M38" i="2"/>
  <c r="M39" i="2" a="1"/>
  <c r="M39" i="2" s="1"/>
  <c r="M40" i="2" a="1"/>
  <c r="M40" i="2" s="1"/>
  <c r="M41" i="2" a="1"/>
  <c r="M41" i="2" s="1"/>
  <c r="M42" i="2" a="1"/>
  <c r="M42" i="2" s="1"/>
  <c r="M43" i="2" a="1"/>
  <c r="M43" i="2" s="1"/>
  <c r="M44" i="2" a="1"/>
  <c r="M44" i="2" s="1"/>
  <c r="M45" i="2" a="1"/>
  <c r="M45" i="2" s="1"/>
  <c r="M46" i="2" a="1"/>
  <c r="M46" i="2" s="1"/>
  <c r="M47" i="2" a="1"/>
  <c r="M47" i="2" s="1"/>
  <c r="M48" i="2" a="1"/>
  <c r="M48" i="2" s="1"/>
  <c r="M49" i="2" a="1"/>
  <c r="M49" i="2" s="1"/>
  <c r="M50" i="2" a="1"/>
  <c r="M50" i="2"/>
  <c r="M51" i="2" a="1"/>
  <c r="M51" i="2" s="1"/>
  <c r="M52" i="2" a="1"/>
  <c r="M52" i="2" s="1"/>
  <c r="M53" i="2" a="1"/>
  <c r="M53" i="2" s="1"/>
  <c r="M54" i="2" a="1"/>
  <c r="M54" i="2" s="1"/>
  <c r="M55" i="2" a="1"/>
  <c r="M55" i="2" s="1"/>
  <c r="M56" i="2" a="1"/>
  <c r="M56" i="2" s="1"/>
  <c r="M57" i="2" a="1"/>
  <c r="M57" i="2" s="1"/>
  <c r="M58" i="2" a="1"/>
  <c r="M58" i="2"/>
  <c r="M59" i="2" a="1"/>
  <c r="M59" i="2" s="1"/>
  <c r="M60" i="2" a="1"/>
  <c r="M60" i="2" s="1"/>
  <c r="M61" i="2" a="1"/>
  <c r="M61" i="2" s="1"/>
  <c r="M62" i="2" a="1"/>
  <c r="M62" i="2" s="1"/>
  <c r="M63" i="2" a="1"/>
  <c r="M63" i="2" s="1"/>
  <c r="M64" i="2" a="1"/>
  <c r="M64" i="2" s="1"/>
  <c r="M65" i="2" a="1"/>
  <c r="M65" i="2" s="1"/>
  <c r="M66" i="2" a="1"/>
  <c r="M66" i="2"/>
  <c r="M67" i="2" a="1"/>
  <c r="M67" i="2" s="1"/>
  <c r="M68" i="2" a="1"/>
  <c r="M68" i="2" s="1"/>
  <c r="M69" i="2" a="1"/>
  <c r="M69" i="2" s="1"/>
  <c r="M70" i="2" a="1"/>
  <c r="M70" i="2"/>
  <c r="M71" i="2" a="1"/>
  <c r="M71" i="2" s="1"/>
  <c r="M72" i="2" a="1"/>
  <c r="M72" i="2" s="1"/>
  <c r="M73" i="2" a="1"/>
  <c r="M73" i="2" s="1"/>
  <c r="M74" i="2" a="1"/>
  <c r="M74" i="2" s="1"/>
  <c r="M75" i="2" a="1"/>
  <c r="M75" i="2" s="1"/>
  <c r="M76" i="2" a="1"/>
  <c r="M76" i="2" s="1"/>
  <c r="M77" i="2" a="1"/>
  <c r="M77" i="2" s="1"/>
  <c r="M78" i="2" a="1"/>
  <c r="M78" i="2" s="1"/>
  <c r="M79" i="2" a="1"/>
  <c r="M79" i="2" s="1"/>
  <c r="M80" i="2" a="1"/>
  <c r="M80" i="2" s="1"/>
  <c r="M81" i="2" a="1"/>
  <c r="M81" i="2" s="1"/>
  <c r="M82" i="2" a="1"/>
  <c r="M82" i="2"/>
  <c r="M83" i="2" a="1"/>
  <c r="M83" i="2" s="1"/>
  <c r="M84" i="2" a="1"/>
  <c r="M84" i="2" s="1"/>
  <c r="M85" i="2" a="1"/>
  <c r="M85" i="2" s="1"/>
  <c r="M86" i="2" a="1"/>
  <c r="M86" i="2" s="1"/>
  <c r="M87" i="2" a="1"/>
  <c r="M87" i="2" s="1"/>
  <c r="M88" i="2" a="1"/>
  <c r="M88" i="2" s="1"/>
  <c r="M89" i="2" a="1"/>
  <c r="M89" i="2" s="1"/>
  <c r="M90" i="2" a="1"/>
  <c r="M90" i="2" s="1"/>
  <c r="M91" i="2" a="1"/>
  <c r="M91" i="2" s="1"/>
  <c r="M92" i="2" a="1"/>
  <c r="M92" i="2" s="1"/>
  <c r="M93" i="2" a="1"/>
  <c r="M93" i="2" s="1"/>
  <c r="M94" i="2" a="1"/>
  <c r="M94" i="2" s="1"/>
  <c r="M95" i="2" a="1"/>
  <c r="M95" i="2" s="1"/>
  <c r="M96" i="2" a="1"/>
  <c r="M96" i="2" s="1"/>
  <c r="M97" i="2" a="1"/>
  <c r="M97" i="2" s="1"/>
  <c r="M98" i="2" a="1"/>
  <c r="M98" i="2"/>
  <c r="M99" i="2" a="1"/>
  <c r="M99" i="2" s="1"/>
  <c r="M100" i="2" a="1"/>
  <c r="M100" i="2" s="1"/>
  <c r="M101" i="2" a="1"/>
  <c r="M101" i="2" s="1"/>
  <c r="M102" i="2" a="1"/>
  <c r="M102" i="2"/>
  <c r="M103" i="2" a="1"/>
  <c r="M103" i="2" s="1"/>
  <c r="M104" i="2" a="1"/>
  <c r="M104" i="2" s="1"/>
  <c r="M105" i="2" a="1"/>
  <c r="M105" i="2" s="1"/>
  <c r="M106" i="2" a="1"/>
  <c r="M106" i="2" s="1"/>
  <c r="M107" i="2" a="1"/>
  <c r="M107" i="2" s="1"/>
  <c r="M108" i="2" a="1"/>
  <c r="M108" i="2" s="1"/>
  <c r="M109" i="2" a="1"/>
  <c r="M109" i="2" s="1"/>
  <c r="M110" i="2" a="1"/>
  <c r="M110" i="2" s="1"/>
  <c r="M111" i="2" a="1"/>
  <c r="M111" i="2" s="1"/>
  <c r="M112" i="2" a="1"/>
  <c r="M112" i="2" s="1"/>
  <c r="M113" i="2" a="1"/>
  <c r="M113" i="2" s="1"/>
  <c r="M114" i="2" a="1"/>
  <c r="M114" i="2"/>
  <c r="M115" i="2" a="1"/>
  <c r="M115" i="2" s="1"/>
  <c r="M116" i="2" a="1"/>
  <c r="M116" i="2" s="1"/>
  <c r="M117" i="2" a="1"/>
  <c r="M117" i="2" s="1"/>
  <c r="M118" i="2" a="1"/>
  <c r="M118" i="2" s="1"/>
  <c r="M119" i="2" a="1"/>
  <c r="M119" i="2" s="1"/>
  <c r="M120" i="2" a="1"/>
  <c r="M120" i="2" s="1"/>
  <c r="M121" i="2" a="1"/>
  <c r="M121" i="2" s="1"/>
  <c r="M122" i="2" a="1"/>
  <c r="M122" i="2"/>
  <c r="M123" i="2" a="1"/>
  <c r="M123" i="2" s="1"/>
  <c r="M124" i="2" a="1"/>
  <c r="M124" i="2" s="1"/>
  <c r="M125" i="2" a="1"/>
  <c r="M125" i="2" s="1"/>
  <c r="M126" i="2" a="1"/>
  <c r="M126" i="2" s="1"/>
  <c r="M127" i="2" a="1"/>
  <c r="M127" i="2" s="1"/>
  <c r="M128" i="2" a="1"/>
  <c r="M128" i="2" s="1"/>
  <c r="M129" i="2" a="1"/>
  <c r="M129" i="2" s="1"/>
  <c r="M130" i="2" a="1"/>
  <c r="M130" i="2"/>
  <c r="M131" i="2" a="1"/>
  <c r="M131" i="2" s="1"/>
  <c r="M132" i="2" a="1"/>
  <c r="M132" i="2" s="1"/>
  <c r="M133" i="2" a="1"/>
  <c r="M133" i="2" s="1"/>
  <c r="M134" i="2" a="1"/>
  <c r="M134" i="2"/>
  <c r="M135" i="2" a="1"/>
  <c r="M135" i="2" s="1"/>
  <c r="M136" i="2" a="1"/>
  <c r="M136" i="2" s="1"/>
  <c r="M137" i="2" a="1"/>
  <c r="M137" i="2" s="1"/>
  <c r="M138" i="2" a="1"/>
  <c r="M138" i="2" s="1"/>
  <c r="M139" i="2" a="1"/>
  <c r="M139" i="2" s="1"/>
  <c r="M140" i="2" a="1"/>
  <c r="M140" i="2" s="1"/>
  <c r="M141" i="2" a="1"/>
  <c r="M141" i="2" s="1"/>
  <c r="M142" i="2" a="1"/>
  <c r="M142" i="2" s="1"/>
  <c r="M143" i="2" a="1"/>
  <c r="M143" i="2" s="1"/>
  <c r="M144" i="2" a="1"/>
  <c r="M144" i="2" s="1"/>
  <c r="M145" i="2" a="1"/>
  <c r="M145" i="2" s="1"/>
  <c r="M146" i="2" a="1"/>
  <c r="M146" i="2"/>
  <c r="M147" i="2" a="1"/>
  <c r="M147" i="2" s="1"/>
  <c r="M148" i="2" a="1"/>
  <c r="M148" i="2" s="1"/>
  <c r="M149" i="2" a="1"/>
  <c r="M149" i="2" s="1"/>
  <c r="M150" i="2" a="1"/>
  <c r="M150" i="2" s="1"/>
  <c r="M151" i="2" a="1"/>
  <c r="M151" i="2" s="1"/>
  <c r="M152" i="2" a="1"/>
  <c r="M152" i="2" s="1"/>
  <c r="M153" i="2" a="1"/>
  <c r="M153" i="2" s="1"/>
  <c r="M154" i="2" a="1"/>
  <c r="M154" i="2" s="1"/>
  <c r="M155" i="2" a="1"/>
  <c r="M155" i="2" s="1"/>
  <c r="M156" i="2" a="1"/>
  <c r="M156" i="2" s="1"/>
  <c r="M157" i="2" a="1"/>
  <c r="M157" i="2" s="1"/>
  <c r="M158" i="2" a="1"/>
  <c r="M158" i="2" s="1"/>
  <c r="M159" i="2" a="1"/>
  <c r="M159" i="2" s="1"/>
  <c r="M160" i="2" a="1"/>
  <c r="M160" i="2" s="1"/>
  <c r="M161" i="2" a="1"/>
  <c r="M161" i="2" s="1"/>
  <c r="M162" i="2" a="1"/>
  <c r="M162" i="2"/>
  <c r="M163" i="2" a="1"/>
  <c r="M163" i="2" s="1"/>
  <c r="M164" i="2" a="1"/>
  <c r="M164" i="2" s="1"/>
  <c r="M165" i="2" a="1"/>
  <c r="M165" i="2" s="1"/>
  <c r="M166" i="2" a="1"/>
  <c r="M166" i="2"/>
  <c r="M167" i="2" a="1"/>
  <c r="M167" i="2" s="1"/>
  <c r="M168" i="2" a="1"/>
  <c r="M168" i="2" s="1"/>
  <c r="M169" i="2" a="1"/>
  <c r="M169" i="2" s="1"/>
  <c r="M170" i="2" a="1"/>
  <c r="M170" i="2" s="1"/>
  <c r="M171" i="2" a="1"/>
  <c r="M171" i="2" s="1"/>
  <c r="M172" i="2" a="1"/>
  <c r="M172" i="2" s="1"/>
  <c r="M173" i="2" a="1"/>
  <c r="M173" i="2" s="1"/>
  <c r="M174" i="2" a="1"/>
  <c r="M174" i="2" s="1"/>
  <c r="M175" i="2" a="1"/>
  <c r="M175" i="2" s="1"/>
  <c r="M176" i="2" a="1"/>
  <c r="M176" i="2" s="1"/>
  <c r="M177" i="2" a="1"/>
  <c r="M177" i="2" s="1"/>
  <c r="M178" i="2" a="1"/>
  <c r="M178" i="2"/>
  <c r="M179" i="2" a="1"/>
  <c r="M179" i="2" s="1"/>
  <c r="M180" i="2" a="1"/>
  <c r="M180" i="2" s="1"/>
  <c r="M181" i="2" a="1"/>
  <c r="M181" i="2" s="1"/>
  <c r="M182" i="2" a="1"/>
  <c r="M182" i="2" s="1"/>
  <c r="M183" i="2" a="1"/>
  <c r="M183" i="2" s="1"/>
  <c r="M184" i="2" a="1"/>
  <c r="M184" i="2" s="1"/>
  <c r="M185" i="2" a="1"/>
  <c r="M185" i="2" s="1"/>
  <c r="M186" i="2" a="1"/>
  <c r="M186" i="2"/>
  <c r="M187" i="2" a="1"/>
  <c r="M187" i="2" s="1"/>
  <c r="M188" i="2" a="1"/>
  <c r="M188" i="2" s="1"/>
  <c r="M189" i="2" a="1"/>
  <c r="M189" i="2" s="1"/>
  <c r="M190" i="2" a="1"/>
  <c r="M190" i="2" s="1"/>
  <c r="M191" i="2" a="1"/>
  <c r="M191" i="2" s="1"/>
  <c r="M192" i="2" a="1"/>
  <c r="M192" i="2" s="1"/>
  <c r="M193" i="2" a="1"/>
  <c r="M193" i="2" s="1"/>
  <c r="M194" i="2" a="1"/>
  <c r="M194" i="2"/>
  <c r="M195" i="2" a="1"/>
  <c r="M195" i="2" s="1"/>
  <c r="M196" i="2" a="1"/>
  <c r="M196" i="2" s="1"/>
  <c r="M197" i="2" a="1"/>
  <c r="M197" i="2" s="1"/>
  <c r="M198" i="2" a="1"/>
  <c r="M198" i="2"/>
  <c r="M199" i="2" a="1"/>
  <c r="M199" i="2" s="1"/>
  <c r="M200" i="2" a="1"/>
  <c r="M200" i="2" s="1"/>
  <c r="M201" i="2" a="1"/>
  <c r="M201" i="2" s="1"/>
  <c r="M202" i="2" a="1"/>
  <c r="M202" i="2" s="1"/>
  <c r="M203" i="2" a="1"/>
  <c r="M203" i="2" s="1"/>
  <c r="M204" i="2" a="1"/>
  <c r="M204" i="2" s="1"/>
  <c r="M205" i="2" a="1"/>
  <c r="M205" i="2" s="1"/>
  <c r="M206" i="2" a="1"/>
  <c r="M206" i="2" s="1"/>
  <c r="M207" i="2" a="1"/>
  <c r="M207" i="2" s="1"/>
  <c r="M208" i="2" a="1"/>
  <c r="M208" i="2" s="1"/>
  <c r="M209" i="2" a="1"/>
  <c r="M209" i="2" s="1"/>
  <c r="M210" i="2" a="1"/>
  <c r="M210" i="2"/>
  <c r="M211" i="2" a="1"/>
  <c r="M211" i="2" s="1"/>
  <c r="M212" i="2" a="1"/>
  <c r="M212" i="2" s="1"/>
  <c r="M213" i="2" a="1"/>
  <c r="M213" i="2" s="1"/>
  <c r="M214" i="2" a="1"/>
  <c r="M214" i="2" s="1"/>
  <c r="M215" i="2" a="1"/>
  <c r="M215" i="2" s="1"/>
  <c r="M216" i="2" a="1"/>
  <c r="M216" i="2" s="1"/>
  <c r="M217" i="2" a="1"/>
  <c r="M217" i="2" s="1"/>
  <c r="M218" i="2" a="1"/>
  <c r="M218" i="2" s="1"/>
  <c r="M219" i="2" a="1"/>
  <c r="M219" i="2" s="1"/>
  <c r="M220" i="2" a="1"/>
  <c r="M220" i="2" s="1"/>
  <c r="M221" i="2" a="1"/>
  <c r="M221" i="2" s="1"/>
  <c r="M222" i="2" a="1"/>
  <c r="M222" i="2" s="1"/>
  <c r="M223" i="2" a="1"/>
  <c r="M223" i="2" s="1"/>
  <c r="M224" i="2" a="1"/>
  <c r="M224" i="2" s="1"/>
  <c r="M225" i="2" a="1"/>
  <c r="M225" i="2" s="1"/>
  <c r="M226" i="2" a="1"/>
  <c r="M226" i="2"/>
  <c r="M227" i="2" a="1"/>
  <c r="M227" i="2" s="1"/>
  <c r="M228" i="2" a="1"/>
  <c r="M228" i="2" s="1"/>
  <c r="M229" i="2" a="1"/>
  <c r="M229" i="2" s="1"/>
  <c r="M230" i="2" a="1"/>
  <c r="M230" i="2"/>
  <c r="M231" i="2" a="1"/>
  <c r="M231" i="2" s="1"/>
  <c r="M232" i="2" a="1"/>
  <c r="M232" i="2" s="1"/>
  <c r="M233" i="2" a="1"/>
  <c r="M233" i="2" s="1"/>
  <c r="M234" i="2" a="1"/>
  <c r="M234" i="2" s="1"/>
  <c r="M235" i="2" a="1"/>
  <c r="M235" i="2" s="1"/>
  <c r="M236" i="2" a="1"/>
  <c r="M236" i="2" s="1"/>
  <c r="M237" i="2" a="1"/>
  <c r="M237" i="2" s="1"/>
  <c r="M238" i="2" a="1"/>
  <c r="M238" i="2" s="1"/>
  <c r="M239" i="2" a="1"/>
  <c r="M239" i="2" s="1"/>
  <c r="M240" i="2" a="1"/>
  <c r="M240" i="2" s="1"/>
  <c r="M241" i="2" a="1"/>
  <c r="M241" i="2" s="1"/>
  <c r="M242" i="2" a="1"/>
  <c r="M242" i="2"/>
  <c r="M243" i="2" a="1"/>
  <c r="M243" i="2" s="1"/>
  <c r="M244" i="2" a="1"/>
  <c r="M244" i="2" s="1"/>
  <c r="M245" i="2" a="1"/>
  <c r="M245" i="2" s="1"/>
  <c r="M246" i="2" a="1"/>
  <c r="M246" i="2" s="1"/>
  <c r="M247" i="2" a="1"/>
  <c r="M247" i="2" s="1"/>
  <c r="M248" i="2" a="1"/>
  <c r="M248" i="2" s="1"/>
  <c r="M249" i="2" a="1"/>
  <c r="M249" i="2" s="1"/>
  <c r="M250" i="2" a="1"/>
  <c r="M250" i="2"/>
  <c r="M251" i="2" a="1"/>
  <c r="M251" i="2" s="1"/>
  <c r="M252" i="2" a="1"/>
  <c r="M252" i="2" s="1"/>
  <c r="M253" i="2" a="1"/>
  <c r="M253" i="2" s="1"/>
  <c r="M254" i="2" a="1"/>
  <c r="M254" i="2" s="1"/>
  <c r="M255" i="2" a="1"/>
  <c r="M255" i="2" s="1"/>
  <c r="M256" i="2" a="1"/>
  <c r="M256" i="2" s="1"/>
  <c r="M257" i="2" a="1"/>
  <c r="M257" i="2" s="1"/>
  <c r="M258" i="2" a="1"/>
  <c r="M258" i="2"/>
  <c r="M259" i="2" a="1"/>
  <c r="M259" i="2" s="1"/>
  <c r="M260" i="2" a="1"/>
  <c r="M260" i="2" s="1"/>
  <c r="M261" i="2" a="1"/>
  <c r="M261" i="2" s="1"/>
  <c r="M262" i="2" a="1"/>
  <c r="M262" i="2"/>
  <c r="M263" i="2" a="1"/>
  <c r="M263" i="2" s="1"/>
  <c r="M264" i="2" a="1"/>
  <c r="M264" i="2" s="1"/>
  <c r="M265" i="2" a="1"/>
  <c r="M265" i="2" s="1"/>
  <c r="M266" i="2" a="1"/>
  <c r="M266" i="2" s="1"/>
  <c r="M267" i="2" a="1"/>
  <c r="M267" i="2" s="1"/>
  <c r="M268" i="2" a="1"/>
  <c r="M268" i="2" s="1"/>
  <c r="M269" i="2" a="1"/>
  <c r="M269" i="2" s="1"/>
  <c r="M270" i="2" a="1"/>
  <c r="M270" i="2" s="1"/>
  <c r="M271" i="2" a="1"/>
  <c r="M271" i="2" s="1"/>
  <c r="M272" i="2" a="1"/>
  <c r="M272" i="2" s="1"/>
  <c r="M273" i="2" a="1"/>
  <c r="M273" i="2" s="1"/>
  <c r="M274" i="2" a="1"/>
  <c r="M274" i="2"/>
  <c r="M275" i="2" a="1"/>
  <c r="M275" i="2" s="1"/>
  <c r="M276" i="2" a="1"/>
  <c r="M276" i="2" s="1"/>
  <c r="M277" i="2" a="1"/>
  <c r="M277" i="2" s="1"/>
  <c r="M278" i="2" a="1"/>
  <c r="M278" i="2" s="1"/>
  <c r="M279" i="2" a="1"/>
  <c r="M279" i="2" s="1"/>
  <c r="M280" i="2" a="1"/>
  <c r="M280" i="2" s="1"/>
  <c r="M281" i="2" a="1"/>
  <c r="M281" i="2" s="1"/>
  <c r="M282" i="2" a="1"/>
  <c r="M282" i="2" s="1"/>
  <c r="M283" i="2" a="1"/>
  <c r="M283" i="2" s="1"/>
  <c r="M284" i="2" a="1"/>
  <c r="M284" i="2" s="1"/>
  <c r="M285" i="2" a="1"/>
  <c r="M285" i="2" s="1"/>
  <c r="M286" i="2" a="1"/>
  <c r="M286" i="2" s="1"/>
  <c r="M287" i="2" a="1"/>
  <c r="M287" i="2" s="1"/>
  <c r="M288" i="2" a="1"/>
  <c r="M288" i="2" s="1"/>
  <c r="M289" i="2" a="1"/>
  <c r="M289" i="2" s="1"/>
  <c r="M290" i="2" a="1"/>
  <c r="M290" i="2"/>
  <c r="M291" i="2" a="1"/>
  <c r="M291" i="2" s="1"/>
  <c r="M292" i="2" a="1"/>
  <c r="M292" i="2" s="1"/>
  <c r="M293" i="2" a="1"/>
  <c r="M293" i="2" s="1"/>
  <c r="M294" i="2" a="1"/>
  <c r="M294" i="2"/>
  <c r="M295" i="2" a="1"/>
  <c r="M295" i="2" s="1"/>
  <c r="M296" i="2" a="1"/>
  <c r="M296" i="2" s="1"/>
  <c r="M297" i="2" a="1"/>
  <c r="M297" i="2" s="1"/>
  <c r="M298" i="2" a="1"/>
  <c r="M298" i="2" s="1"/>
  <c r="M299" i="2" a="1"/>
  <c r="M299" i="2" s="1"/>
  <c r="M300" i="2" a="1"/>
  <c r="M300" i="2" s="1"/>
  <c r="M301" i="2" a="1"/>
  <c r="M301" i="2" s="1"/>
  <c r="M302" i="2" a="1"/>
  <c r="M302" i="2" s="1"/>
  <c r="M303" i="2" a="1"/>
  <c r="M303" i="2" s="1"/>
  <c r="M304" i="2" a="1"/>
  <c r="M304" i="2" s="1"/>
  <c r="M305" i="2" a="1"/>
  <c r="M305" i="2" s="1"/>
  <c r="M306" i="2" a="1"/>
  <c r="M306" i="2"/>
  <c r="M307" i="2" a="1"/>
  <c r="M307" i="2" s="1"/>
  <c r="M308" i="2" a="1"/>
  <c r="M308" i="2" s="1"/>
  <c r="M309" i="2" a="1"/>
  <c r="M309" i="2" s="1"/>
  <c r="M310" i="2" a="1"/>
  <c r="M310" i="2" s="1"/>
  <c r="M311" i="2" a="1"/>
  <c r="M311" i="2" s="1"/>
  <c r="M312" i="2" a="1"/>
  <c r="M312" i="2" s="1"/>
  <c r="M313" i="2" a="1"/>
  <c r="M313" i="2" s="1"/>
  <c r="M314" i="2" a="1"/>
  <c r="M314" i="2" s="1"/>
  <c r="M315" i="2" a="1"/>
  <c r="M315" i="2" s="1"/>
  <c r="M316" i="2" a="1"/>
  <c r="M316" i="2" s="1"/>
  <c r="M317" i="2" a="1"/>
  <c r="M317" i="2" s="1"/>
  <c r="M318" i="2" a="1"/>
  <c r="M318" i="2" s="1"/>
  <c r="M319" i="2" a="1"/>
  <c r="M319" i="2" s="1"/>
  <c r="M320" i="2" a="1"/>
  <c r="M320" i="2" s="1"/>
  <c r="M321" i="2" a="1"/>
  <c r="M321" i="2" s="1"/>
  <c r="M322" i="2" a="1"/>
  <c r="M322" i="2"/>
  <c r="M323" i="2" a="1"/>
  <c r="M323" i="2" s="1"/>
  <c r="M324" i="2" a="1"/>
  <c r="M324" i="2" s="1"/>
  <c r="M325" i="2" a="1"/>
  <c r="M325" i="2" s="1"/>
  <c r="M326" i="2" a="1"/>
  <c r="M326" i="2"/>
  <c r="M327" i="2" a="1"/>
  <c r="M327" i="2" s="1"/>
  <c r="M328" i="2" a="1"/>
  <c r="M328" i="2" s="1"/>
  <c r="M329" i="2" a="1"/>
  <c r="M329" i="2" s="1"/>
  <c r="M330" i="2" a="1"/>
  <c r="M330" i="2" s="1"/>
  <c r="M331" i="2" a="1"/>
  <c r="M331" i="2" s="1"/>
  <c r="M332" i="2" a="1"/>
  <c r="M332" i="2" s="1"/>
  <c r="M333" i="2" a="1"/>
  <c r="M333" i="2" s="1"/>
  <c r="M334" i="2" a="1"/>
  <c r="M334" i="2" s="1"/>
  <c r="M335" i="2" a="1"/>
  <c r="M335" i="2" s="1"/>
  <c r="M336" i="2" a="1"/>
  <c r="M336" i="2" s="1"/>
  <c r="M337" i="2" a="1"/>
  <c r="M337" i="2" s="1"/>
  <c r="M338" i="2" a="1"/>
  <c r="M338" i="2"/>
  <c r="M339" i="2" a="1"/>
  <c r="M339" i="2" s="1"/>
  <c r="M340" i="2" a="1"/>
  <c r="M340" i="2" s="1"/>
  <c r="M341" i="2" a="1"/>
  <c r="M341" i="2" s="1"/>
  <c r="M342" i="2" a="1"/>
  <c r="M342" i="2" s="1"/>
  <c r="M343" i="2" a="1"/>
  <c r="M343" i="2" s="1"/>
  <c r="M344" i="2" a="1"/>
  <c r="M344" i="2"/>
  <c r="M345" i="2" a="1"/>
  <c r="M345" i="2" s="1"/>
  <c r="M346" i="2" a="1"/>
  <c r="M346" i="2"/>
  <c r="M347" i="2" a="1"/>
  <c r="M347" i="2" s="1"/>
  <c r="M348" i="2" a="1"/>
  <c r="M348" i="2"/>
  <c r="M349" i="2" a="1"/>
  <c r="M349" i="2" s="1"/>
  <c r="M350" i="2" a="1"/>
  <c r="M350" i="2"/>
  <c r="M351" i="2" a="1"/>
  <c r="M351" i="2" s="1"/>
  <c r="M352" i="2" a="1"/>
  <c r="M352" i="2"/>
  <c r="M353" i="2" a="1"/>
  <c r="M353" i="2" s="1"/>
  <c r="M354" i="2" a="1"/>
  <c r="M354" i="2" s="1"/>
  <c r="M355" i="2" a="1"/>
  <c r="M355" i="2" s="1"/>
  <c r="M356" i="2" a="1"/>
  <c r="M356" i="2"/>
  <c r="M357" i="2" a="1"/>
  <c r="M357" i="2"/>
  <c r="M358" i="2" a="1"/>
  <c r="M358" i="2" s="1"/>
  <c r="M359" i="2" a="1"/>
  <c r="M359" i="2" s="1"/>
  <c r="M360" i="2" a="1"/>
  <c r="M360" i="2"/>
  <c r="M361" i="2" a="1"/>
  <c r="M361" i="2" s="1"/>
  <c r="M362" i="2" a="1"/>
  <c r="M362" i="2" s="1"/>
  <c r="M363" i="2" a="1"/>
  <c r="M363" i="2" s="1"/>
  <c r="M364" i="2" a="1"/>
  <c r="M364" i="2"/>
  <c r="M365" i="2" a="1"/>
  <c r="M365" i="2"/>
  <c r="M366" i="2" a="1"/>
  <c r="M366" i="2"/>
  <c r="M367" i="2" a="1"/>
  <c r="M367" i="2" s="1"/>
  <c r="M368" i="2" a="1"/>
  <c r="M368" i="2" s="1"/>
  <c r="M369" i="2" a="1"/>
  <c r="M369" i="2"/>
  <c r="M370" i="2" a="1"/>
  <c r="M370" i="2" s="1"/>
  <c r="M371" i="2" a="1"/>
  <c r="M371" i="2" s="1"/>
  <c r="M372" i="2" a="1"/>
  <c r="M372" i="2" s="1"/>
  <c r="M373" i="2" a="1"/>
  <c r="M373" i="2"/>
  <c r="M374" i="2" a="1"/>
  <c r="M374" i="2"/>
  <c r="M375" i="2" a="1"/>
  <c r="M375" i="2" s="1"/>
  <c r="M376" i="2" a="1"/>
  <c r="M376" i="2" s="1"/>
  <c r="M377" i="2" a="1"/>
  <c r="M377" i="2" s="1"/>
  <c r="M378" i="2" a="1"/>
  <c r="M378" i="2"/>
  <c r="M379" i="2" a="1"/>
  <c r="M379" i="2" s="1"/>
  <c r="M380" i="2" a="1"/>
  <c r="M380" i="2"/>
  <c r="M381" i="2" a="1"/>
  <c r="M381" i="2" s="1"/>
  <c r="M382" i="2" a="1"/>
  <c r="M382" i="2"/>
  <c r="M383" i="2" a="1"/>
  <c r="M383" i="2" s="1"/>
  <c r="M384" i="2" a="1"/>
  <c r="M384" i="2" s="1"/>
  <c r="M385" i="2" a="1"/>
  <c r="M385" i="2" s="1"/>
  <c r="M386" i="2" a="1"/>
  <c r="M386" i="2" s="1"/>
  <c r="M387" i="2" a="1"/>
  <c r="M387" i="2" s="1"/>
  <c r="M388" i="2" a="1"/>
  <c r="M388" i="2" s="1"/>
  <c r="M389" i="2" a="1"/>
  <c r="M389" i="2"/>
  <c r="M390" i="2" a="1"/>
  <c r="M390" i="2" s="1"/>
  <c r="M391" i="2" a="1"/>
  <c r="M391" i="2" s="1"/>
  <c r="M392" i="2" a="1"/>
  <c r="M392" i="2"/>
  <c r="M393" i="2" a="1"/>
  <c r="M393" i="2" s="1"/>
  <c r="M394" i="2" a="1"/>
  <c r="M394" i="2" s="1"/>
  <c r="M395" i="2" a="1"/>
  <c r="M395" i="2" s="1"/>
  <c r="M396" i="2" a="1"/>
  <c r="M396" i="2"/>
  <c r="M397" i="2" a="1"/>
  <c r="M397" i="2" s="1"/>
  <c r="M398" i="2" a="1"/>
  <c r="M398" i="2"/>
  <c r="M399" i="2" a="1"/>
  <c r="M399" i="2" s="1"/>
  <c r="M400" i="2" a="1"/>
  <c r="M400" i="2" s="1"/>
  <c r="M401" i="2" a="1"/>
  <c r="M401" i="2"/>
  <c r="M402" i="2" a="1"/>
  <c r="M402" i="2" s="1"/>
  <c r="M403" i="2" a="1"/>
  <c r="M403" i="2" s="1"/>
  <c r="M404" i="2" a="1"/>
  <c r="M404" i="2" s="1"/>
  <c r="M405" i="2" a="1"/>
  <c r="M405" i="2"/>
  <c r="M406" i="2" a="1"/>
  <c r="M406" i="2"/>
  <c r="M407" i="2" a="1"/>
  <c r="M407" i="2" s="1"/>
  <c r="M408" i="2" a="1"/>
  <c r="M408" i="2" s="1"/>
  <c r="M409" i="2" a="1"/>
  <c r="M409" i="2" s="1"/>
  <c r="M410" i="2" a="1"/>
  <c r="M410" i="2"/>
  <c r="M411" i="2" a="1"/>
  <c r="M411" i="2" s="1"/>
  <c r="M412" i="2" a="1"/>
  <c r="M412" i="2"/>
  <c r="M413" i="2" a="1"/>
  <c r="M413" i="2" s="1"/>
  <c r="M414" i="2" a="1"/>
  <c r="M414" i="2"/>
  <c r="M415" i="2" a="1"/>
  <c r="M415" i="2" s="1"/>
  <c r="M416" i="2" a="1"/>
  <c r="M416" i="2" s="1"/>
  <c r="M417" i="2" a="1"/>
  <c r="M417" i="2" s="1"/>
  <c r="M418" i="2" a="1"/>
  <c r="M418" i="2" s="1"/>
  <c r="M419" i="2" a="1"/>
  <c r="M419" i="2" s="1"/>
  <c r="M420" i="2" a="1"/>
  <c r="M420" i="2"/>
  <c r="M421" i="2" a="1"/>
  <c r="M421" i="2"/>
  <c r="M422" i="2" a="1"/>
  <c r="M422" i="2" s="1"/>
  <c r="M423" i="2" a="1"/>
  <c r="M423" i="2" s="1"/>
  <c r="M424" i="2" a="1"/>
  <c r="M424" i="2"/>
  <c r="M425" i="2" a="1"/>
  <c r="M425" i="2" s="1"/>
  <c r="M426" i="2" a="1"/>
  <c r="M426" i="2" s="1"/>
  <c r="M427" i="2" a="1"/>
  <c r="M427" i="2" s="1"/>
  <c r="M428" i="2" a="1"/>
  <c r="M428" i="2"/>
  <c r="M429" i="2" a="1"/>
  <c r="M429" i="2" s="1"/>
  <c r="M430" i="2" a="1"/>
  <c r="M430" i="2"/>
  <c r="M431" i="2" a="1"/>
  <c r="M431" i="2" s="1"/>
  <c r="M432" i="2" a="1"/>
  <c r="M432" i="2" s="1"/>
  <c r="M433" i="2" a="1"/>
  <c r="M433" i="2"/>
  <c r="M434" i="2" a="1"/>
  <c r="M434" i="2" s="1"/>
  <c r="M435" i="2" a="1"/>
  <c r="M435" i="2" s="1"/>
  <c r="M436" i="2" a="1"/>
  <c r="M436" i="2" s="1"/>
  <c r="M437" i="2" a="1"/>
  <c r="M437" i="2"/>
  <c r="M438" i="2" a="1"/>
  <c r="M438" i="2"/>
  <c r="M439" i="2" a="1"/>
  <c r="M439" i="2" s="1"/>
  <c r="M440" i="2" a="1"/>
  <c r="M440" i="2" s="1"/>
  <c r="M441" i="2" a="1"/>
  <c r="M441" i="2" s="1"/>
  <c r="M442" i="2" a="1"/>
  <c r="M442" i="2"/>
  <c r="M443" i="2" a="1"/>
  <c r="M443" i="2" s="1"/>
  <c r="M444" i="2" a="1"/>
  <c r="M444" i="2"/>
  <c r="M445" i="2" a="1"/>
  <c r="M445" i="2" s="1"/>
  <c r="M446" i="2" a="1"/>
  <c r="M446" i="2"/>
  <c r="M447" i="2" a="1"/>
  <c r="M447" i="2" s="1"/>
  <c r="M448" i="2" a="1"/>
  <c r="M448" i="2" s="1"/>
  <c r="M449" i="2" a="1"/>
  <c r="M449" i="2" s="1"/>
  <c r="M450" i="2" a="1"/>
  <c r="M450" i="2" s="1"/>
  <c r="M451" i="2" a="1"/>
  <c r="M451" i="2" s="1"/>
  <c r="M452" i="2" a="1"/>
  <c r="M452" i="2" s="1"/>
  <c r="M453" i="2" a="1"/>
  <c r="M453" i="2"/>
  <c r="M454" i="2" a="1"/>
  <c r="M454" i="2" s="1"/>
  <c r="M455" i="2" a="1"/>
  <c r="M455" i="2" s="1"/>
  <c r="M456" i="2" a="1"/>
  <c r="M456" i="2"/>
  <c r="M457" i="2" a="1"/>
  <c r="M457" i="2" s="1"/>
  <c r="M458" i="2" a="1"/>
  <c r="M458" i="2" s="1"/>
  <c r="M459" i="2" a="1"/>
  <c r="M459" i="2" s="1"/>
  <c r="M460" i="2" a="1"/>
  <c r="M460" i="2"/>
  <c r="M461" i="2" a="1"/>
  <c r="M461" i="2" s="1"/>
  <c r="M462" i="2" a="1"/>
  <c r="M462" i="2"/>
  <c r="M463" i="2" a="1"/>
  <c r="M463" i="2" s="1"/>
  <c r="M464" i="2" a="1"/>
  <c r="M464" i="2" s="1"/>
  <c r="M465" i="2" a="1"/>
  <c r="M465" i="2"/>
  <c r="M466" i="2" a="1"/>
  <c r="M466" i="2" s="1"/>
  <c r="M467" i="2" a="1"/>
  <c r="M467" i="2" s="1"/>
  <c r="M468" i="2" a="1"/>
  <c r="M468" i="2" s="1"/>
  <c r="M469" i="2" a="1"/>
  <c r="M469" i="2"/>
  <c r="M470" i="2" a="1"/>
  <c r="M470" i="2"/>
  <c r="M471" i="2" a="1"/>
  <c r="M471" i="2" s="1"/>
  <c r="M472" i="2" a="1"/>
  <c r="M472" i="2" s="1"/>
  <c r="M473" i="2" a="1"/>
  <c r="M473" i="2" s="1"/>
  <c r="M474" i="2" a="1"/>
  <c r="M474" i="2"/>
  <c r="M475" i="2" a="1"/>
  <c r="M475" i="2" s="1"/>
  <c r="M476" i="2" a="1"/>
  <c r="M476" i="2"/>
  <c r="M477" i="2" a="1"/>
  <c r="M477" i="2" s="1"/>
  <c r="M478" i="2" a="1"/>
  <c r="M478" i="2"/>
  <c r="M479" i="2" a="1"/>
  <c r="M479" i="2" s="1"/>
  <c r="M480" i="2" a="1"/>
  <c r="M480" i="2" s="1"/>
  <c r="M481" i="2" a="1"/>
  <c r="M481" i="2"/>
  <c r="M482" i="2" a="1"/>
  <c r="M482" i="2" s="1"/>
  <c r="M483" i="2" a="1"/>
  <c r="M483" i="2" s="1"/>
  <c r="M484" i="2" a="1"/>
  <c r="M484" i="2"/>
  <c r="M485" i="2" a="1"/>
  <c r="M485" i="2"/>
  <c r="M486" i="2" a="1"/>
  <c r="M486" i="2" s="1"/>
  <c r="M487" i="2" a="1"/>
  <c r="M487" i="2" s="1"/>
  <c r="M488" i="2" a="1"/>
  <c r="M488" i="2"/>
  <c r="M489" i="2" a="1"/>
  <c r="M489" i="2" s="1"/>
  <c r="M490" i="2" a="1"/>
  <c r="M490" i="2" s="1"/>
  <c r="M491" i="2" a="1"/>
  <c r="M491" i="2" s="1"/>
  <c r="M492" i="2" a="1"/>
  <c r="M492" i="2"/>
  <c r="M493" i="2" a="1"/>
  <c r="M493" i="2"/>
  <c r="M494" i="2" a="1"/>
  <c r="M494" i="2"/>
  <c r="M495" i="2" a="1"/>
  <c r="M495" i="2" s="1"/>
  <c r="M496" i="2" a="1"/>
  <c r="M496" i="2" s="1"/>
  <c r="M497" i="2" a="1"/>
  <c r="M497" i="2"/>
  <c r="M498" i="2" a="1"/>
  <c r="M498" i="2" s="1"/>
  <c r="M499" i="2" a="1"/>
  <c r="M499" i="2" s="1"/>
  <c r="M500" i="2" a="1"/>
  <c r="M500" i="2" s="1"/>
  <c r="M501" i="2" a="1"/>
  <c r="M501" i="2"/>
  <c r="M502" i="2" a="1"/>
  <c r="M502" i="2" s="1"/>
  <c r="M503" i="2" a="1"/>
  <c r="M503" i="2" s="1"/>
  <c r="M504" i="2" a="1"/>
  <c r="M504" i="2"/>
  <c r="M505" i="2" a="1"/>
  <c r="M505" i="2" s="1"/>
  <c r="M506" i="2" a="1"/>
  <c r="M506" i="2"/>
  <c r="M507" i="2" a="1"/>
  <c r="M507" i="2" s="1"/>
  <c r="M508" i="2" a="1"/>
  <c r="M508" i="2"/>
  <c r="M509" i="2" a="1"/>
  <c r="M509" i="2" s="1"/>
  <c r="M510" i="2" a="1"/>
  <c r="M510" i="2"/>
  <c r="M511" i="2" a="1"/>
  <c r="M511" i="2" s="1"/>
  <c r="M512" i="2" a="1"/>
  <c r="M512" i="2" s="1"/>
  <c r="M513" i="2" a="1"/>
  <c r="M513" i="2" s="1"/>
  <c r="M514" i="2" a="1"/>
  <c r="M514" i="2" s="1"/>
  <c r="M515" i="2" a="1"/>
  <c r="M515" i="2" s="1"/>
  <c r="M516" i="2" a="1"/>
  <c r="M516" i="2" s="1"/>
  <c r="M517" i="2" a="1"/>
  <c r="M517" i="2"/>
  <c r="M518" i="2" a="1"/>
  <c r="M518" i="2" s="1"/>
  <c r="M519" i="2" a="1"/>
  <c r="M519" i="2" s="1"/>
  <c r="M520" i="2" a="1"/>
  <c r="M520" i="2"/>
  <c r="M521" i="2" a="1"/>
  <c r="M521" i="2" s="1"/>
  <c r="M522" i="2" a="1"/>
  <c r="M522" i="2"/>
  <c r="M523" i="2" a="1"/>
  <c r="M523" i="2" s="1"/>
  <c r="M524" i="2" a="1"/>
  <c r="M524" i="2"/>
  <c r="M525" i="2" a="1"/>
  <c r="M525" i="2"/>
  <c r="M526" i="2" a="1"/>
  <c r="M526" i="2"/>
  <c r="M527" i="2" a="1"/>
  <c r="M527" i="2" s="1"/>
  <c r="M528" i="2" a="1"/>
  <c r="M528" i="2" s="1"/>
  <c r="M529" i="2" a="1"/>
  <c r="M529" i="2"/>
  <c r="M530" i="2" a="1"/>
  <c r="M530" i="2" s="1"/>
  <c r="M531" i="2" a="1"/>
  <c r="M531" i="2" s="1"/>
  <c r="M532" i="2" a="1"/>
  <c r="M532" i="2" s="1"/>
  <c r="M533" i="2" a="1"/>
  <c r="M533" i="2"/>
  <c r="M534" i="2" a="1"/>
  <c r="M534" i="2" s="1"/>
  <c r="M535" i="2" a="1"/>
  <c r="M535" i="2" s="1"/>
  <c r="M536" i="2" a="1"/>
  <c r="M536" i="2"/>
  <c r="M537" i="2" a="1"/>
  <c r="M537" i="2" s="1"/>
  <c r="M538" i="2" a="1"/>
  <c r="M538" i="2"/>
  <c r="M539" i="2" a="1"/>
  <c r="M539" i="2" s="1"/>
  <c r="M540" i="2" a="1"/>
  <c r="M540" i="2"/>
  <c r="M541" i="2" a="1"/>
  <c r="M541" i="2" s="1"/>
  <c r="M542" i="2" a="1"/>
  <c r="M542" i="2"/>
  <c r="M543" i="2" a="1"/>
  <c r="M543" i="2" s="1"/>
  <c r="M544" i="2" a="1"/>
  <c r="M544" i="2" s="1"/>
  <c r="M545" i="2" a="1"/>
  <c r="M545" i="2" s="1"/>
  <c r="M546" i="2" a="1"/>
  <c r="M546" i="2" s="1"/>
  <c r="M547" i="2" a="1"/>
  <c r="M547" i="2" s="1"/>
  <c r="M548" i="2" a="1"/>
  <c r="M548" i="2"/>
  <c r="M549" i="2" a="1"/>
  <c r="M549" i="2"/>
  <c r="M550" i="2" a="1"/>
  <c r="M550" i="2" s="1"/>
  <c r="M551" i="2" a="1"/>
  <c r="M551" i="2" s="1"/>
  <c r="M552" i="2" a="1"/>
  <c r="M552" i="2"/>
  <c r="M553" i="2" a="1"/>
  <c r="M553" i="2" s="1"/>
  <c r="M554" i="2" a="1"/>
  <c r="M554" i="2" s="1"/>
  <c r="M555" i="2" a="1"/>
  <c r="M555" i="2" s="1"/>
  <c r="M556" i="2" a="1"/>
  <c r="M556" i="2"/>
  <c r="M557" i="2" a="1"/>
  <c r="M557" i="2"/>
  <c r="M558" i="2" a="1"/>
  <c r="M558" i="2"/>
  <c r="M559" i="2" a="1"/>
  <c r="M559" i="2" s="1"/>
  <c r="M560" i="2" a="1"/>
  <c r="M560" i="2" s="1"/>
  <c r="M561" i="2" a="1"/>
  <c r="M561" i="2"/>
  <c r="M562" i="2" a="1"/>
  <c r="M562" i="2" s="1"/>
  <c r="M563" i="2" a="1"/>
  <c r="M563" i="2" s="1"/>
  <c r="M564" i="2" a="1"/>
  <c r="M564" i="2" s="1"/>
  <c r="M565" i="2" a="1"/>
  <c r="M565" i="2"/>
  <c r="M566" i="2" a="1"/>
  <c r="M566" i="2" s="1"/>
  <c r="M567" i="2" a="1"/>
  <c r="M567" i="2" s="1"/>
  <c r="M568" i="2" a="1"/>
  <c r="M568" i="2"/>
  <c r="M569" i="2" a="1"/>
  <c r="M569" i="2" s="1"/>
  <c r="M570" i="2" a="1"/>
  <c r="M570" i="2"/>
  <c r="M571" i="2" a="1"/>
  <c r="M571" i="2" s="1"/>
  <c r="M572" i="2" a="1"/>
  <c r="M572" i="2"/>
  <c r="M573" i="2" a="1"/>
  <c r="M573" i="2" s="1"/>
  <c r="M574" i="2" a="1"/>
  <c r="M574" i="2"/>
  <c r="M575" i="2" a="1"/>
  <c r="M575" i="2" s="1"/>
  <c r="M576" i="2" a="1"/>
  <c r="M576" i="2" s="1"/>
  <c r="M577" i="2" a="1"/>
  <c r="M577" i="2" s="1"/>
  <c r="M578" i="2" a="1"/>
  <c r="M578" i="2" s="1"/>
  <c r="M579" i="2" a="1"/>
  <c r="M579" i="2" s="1"/>
  <c r="M580" i="2" a="1"/>
  <c r="M580" i="2"/>
  <c r="M581" i="2" a="1"/>
  <c r="M581" i="2"/>
  <c r="M582" i="2" a="1"/>
  <c r="M582" i="2" s="1"/>
  <c r="M583" i="2" a="1"/>
  <c r="M583" i="2" s="1"/>
  <c r="M584" i="2" a="1"/>
  <c r="M584" i="2"/>
  <c r="M585" i="2" a="1"/>
  <c r="M585" i="2" s="1"/>
  <c r="M586" i="2" a="1"/>
  <c r="M586" i="2"/>
  <c r="M587" i="2" a="1"/>
  <c r="M587" i="2" s="1"/>
  <c r="M588" i="2" a="1"/>
  <c r="M588" i="2"/>
  <c r="M589" i="2" a="1"/>
  <c r="M589" i="2" s="1"/>
  <c r="M590" i="2" a="1"/>
  <c r="M590" i="2"/>
  <c r="M591" i="2" a="1"/>
  <c r="M591" i="2" s="1"/>
  <c r="M592" i="2" a="1"/>
  <c r="M592" i="2" s="1"/>
  <c r="M593" i="2" a="1"/>
  <c r="M593" i="2"/>
  <c r="M594" i="2" a="1"/>
  <c r="M594" i="2" s="1"/>
  <c r="M595" i="2" a="1"/>
  <c r="M595" i="2" s="1"/>
  <c r="M596" i="2" a="1"/>
  <c r="M596" i="2"/>
  <c r="M597" i="2" a="1"/>
  <c r="M597" i="2"/>
  <c r="M598" i="2" a="1"/>
  <c r="M598" i="2" s="1"/>
  <c r="M599" i="2" a="1"/>
  <c r="M599" i="2" s="1"/>
  <c r="M600" i="2" a="1"/>
  <c r="M600" i="2"/>
  <c r="M601" i="2" a="1"/>
  <c r="M601" i="2" s="1"/>
  <c r="M602" i="2" a="1"/>
  <c r="M602" i="2"/>
  <c r="M603" i="2" a="1"/>
  <c r="M603" i="2" s="1"/>
  <c r="M604" i="2" a="1"/>
  <c r="M604" i="2"/>
  <c r="M605" i="2" a="1"/>
  <c r="M605" i="2"/>
  <c r="M606" i="2" a="1"/>
  <c r="M606" i="2"/>
  <c r="M607" i="2" a="1"/>
  <c r="M607" i="2" s="1"/>
  <c r="M608" i="2" a="1"/>
  <c r="M608" i="2" s="1"/>
  <c r="M609" i="2" a="1"/>
  <c r="M609" i="2" s="1"/>
  <c r="M610" i="2" a="1"/>
  <c r="M610" i="2" s="1"/>
  <c r="M611" i="2" a="1"/>
  <c r="M611" i="2" s="1"/>
  <c r="M612" i="2" a="1"/>
  <c r="M612" i="2"/>
  <c r="M613" i="2" a="1"/>
  <c r="M613" i="2"/>
  <c r="M614" i="2" a="1"/>
  <c r="M614" i="2" s="1"/>
  <c r="M615" i="2" a="1"/>
  <c r="M615" i="2" s="1"/>
  <c r="M616" i="2" a="1"/>
  <c r="M616" i="2"/>
  <c r="M617" i="2" a="1"/>
  <c r="M617" i="2" s="1"/>
  <c r="M618" i="2" a="1"/>
  <c r="M618" i="2"/>
  <c r="M619" i="2" a="1"/>
  <c r="M619" i="2" s="1"/>
  <c r="M620" i="2" a="1"/>
  <c r="M620" i="2"/>
  <c r="M621" i="2" a="1"/>
  <c r="M621" i="2"/>
  <c r="M622" i="2" a="1"/>
  <c r="M622" i="2"/>
  <c r="M623" i="2" a="1"/>
  <c r="M623" i="2" s="1"/>
  <c r="M624" i="2" a="1"/>
  <c r="M624" i="2" s="1"/>
  <c r="M625" i="2" a="1"/>
  <c r="M625" i="2"/>
  <c r="M626" i="2" a="1"/>
  <c r="M626" i="2" s="1"/>
  <c r="M627" i="2" a="1"/>
  <c r="M627" i="2" s="1"/>
  <c r="M628" i="2" a="1"/>
  <c r="M628" i="2" s="1"/>
  <c r="M629" i="2" a="1"/>
  <c r="M629" i="2"/>
  <c r="M630" i="2" a="1"/>
  <c r="M630" i="2" s="1"/>
  <c r="M631" i="2" a="1"/>
  <c r="M631" i="2" s="1"/>
  <c r="M632" i="2" a="1"/>
  <c r="M632" i="2"/>
  <c r="M633" i="2" a="1"/>
  <c r="M633" i="2" s="1"/>
  <c r="M634" i="2" a="1"/>
  <c r="M634" i="2"/>
  <c r="M635" i="2" a="1"/>
  <c r="M635" i="2" s="1"/>
  <c r="M636" i="2" a="1"/>
  <c r="M636" i="2"/>
  <c r="M637" i="2" a="1"/>
  <c r="M637" i="2"/>
  <c r="M638" i="2" a="1"/>
  <c r="M638" i="2"/>
  <c r="M639" i="2" a="1"/>
  <c r="M639" i="2" s="1"/>
  <c r="M640" i="2" a="1"/>
  <c r="M640" i="2" s="1"/>
  <c r="M641" i="2" a="1"/>
  <c r="M641" i="2"/>
  <c r="M642" i="2" a="1"/>
  <c r="M642" i="2" s="1"/>
  <c r="M643" i="2" a="1"/>
  <c r="M643" i="2"/>
  <c r="M644" i="2" a="1"/>
  <c r="M644" i="2" s="1"/>
  <c r="M645" i="2" a="1"/>
  <c r="M645" i="2" s="1"/>
  <c r="M646" i="2" a="1"/>
  <c r="M646" i="2" s="1"/>
  <c r="M647" i="2" a="1"/>
  <c r="M647" i="2"/>
  <c r="M648" i="2" a="1"/>
  <c r="M648" i="2" s="1"/>
  <c r="M649" i="2" a="1"/>
  <c r="M649" i="2"/>
  <c r="M650" i="2" a="1"/>
  <c r="M650" i="2" s="1"/>
  <c r="M651" i="2" a="1"/>
  <c r="M651" i="2"/>
  <c r="M652" i="2" a="1"/>
  <c r="M652" i="2" s="1"/>
  <c r="M653" i="2" a="1"/>
  <c r="M653" i="2"/>
  <c r="M654" i="2" a="1"/>
  <c r="M654" i="2" s="1"/>
  <c r="M655" i="2" a="1"/>
  <c r="M655" i="2"/>
  <c r="M656" i="2" a="1"/>
  <c r="M656" i="2" s="1"/>
  <c r="M657" i="2" a="1"/>
  <c r="M657" i="2"/>
  <c r="M658" i="2" a="1"/>
  <c r="M658" i="2" s="1"/>
  <c r="M659" i="2" a="1"/>
  <c r="M659" i="2" s="1"/>
  <c r="M660" i="2" a="1"/>
  <c r="M660" i="2" s="1"/>
  <c r="M661" i="2" a="1"/>
  <c r="M661" i="2" s="1"/>
  <c r="M662" i="2" a="1"/>
  <c r="M662" i="2" s="1"/>
  <c r="M663" i="2" a="1"/>
  <c r="M663" i="2"/>
  <c r="M664" i="2" a="1"/>
  <c r="M664" i="2" s="1"/>
  <c r="M665" i="2" a="1"/>
  <c r="M665" i="2"/>
  <c r="M666" i="2" a="1"/>
  <c r="M666" i="2" s="1"/>
  <c r="M667" i="2" a="1"/>
  <c r="M667" i="2" s="1"/>
  <c r="M668" i="2" a="1"/>
  <c r="M668" i="2" s="1"/>
  <c r="M669" i="2" a="1"/>
  <c r="M669" i="2"/>
  <c r="M670" i="2" a="1"/>
  <c r="M670" i="2" s="1"/>
  <c r="M671" i="2" a="1"/>
  <c r="M671" i="2" s="1"/>
  <c r="M672" i="2" a="1"/>
  <c r="M672" i="2" s="1"/>
  <c r="M673" i="2" a="1"/>
  <c r="M673" i="2"/>
  <c r="M674" i="2" a="1"/>
  <c r="M674" i="2" s="1"/>
  <c r="M675" i="2" a="1"/>
  <c r="M675" i="2" s="1"/>
  <c r="M676" i="2" a="1"/>
  <c r="M676" i="2" s="1"/>
  <c r="M677" i="2" a="1"/>
  <c r="M677" i="2" s="1"/>
  <c r="M678" i="2" a="1"/>
  <c r="M678" i="2" s="1"/>
  <c r="M679" i="2" a="1"/>
  <c r="M679" i="2"/>
  <c r="M680" i="2" a="1"/>
  <c r="M680" i="2" s="1"/>
  <c r="M681" i="2" a="1"/>
  <c r="M681" i="2"/>
  <c r="M682" i="2" a="1"/>
  <c r="M682" i="2" s="1"/>
  <c r="M683" i="2" a="1"/>
  <c r="M683" i="2" s="1"/>
  <c r="M684" i="2" a="1"/>
  <c r="M684" i="2" s="1"/>
  <c r="M685" i="2" a="1"/>
  <c r="M685" i="2"/>
  <c r="M686" i="2" a="1"/>
  <c r="M686" i="2" s="1"/>
  <c r="M687" i="2" a="1"/>
  <c r="M687" i="2" s="1"/>
  <c r="M688" i="2" a="1"/>
  <c r="M688" i="2" s="1"/>
  <c r="M689" i="2" a="1"/>
  <c r="M689" i="2"/>
  <c r="M690" i="2" a="1"/>
  <c r="M690" i="2" s="1"/>
  <c r="M691" i="2" a="1"/>
  <c r="M691" i="2" s="1"/>
  <c r="M692" i="2" a="1"/>
  <c r="M692" i="2" s="1"/>
  <c r="M693" i="2" a="1"/>
  <c r="M693" i="2" s="1"/>
  <c r="M694" i="2" a="1"/>
  <c r="M694" i="2" s="1"/>
  <c r="M695" i="2" a="1"/>
  <c r="M695" i="2"/>
  <c r="M696" i="2" a="1"/>
  <c r="M696" i="2" s="1"/>
  <c r="M697" i="2" a="1"/>
  <c r="M697" i="2"/>
  <c r="M698" i="2" a="1"/>
  <c r="M698" i="2" s="1"/>
  <c r="M699" i="2" a="1"/>
  <c r="M699" i="2" s="1"/>
  <c r="M700" i="2" a="1"/>
  <c r="M700" i="2" s="1"/>
  <c r="M701" i="2" a="1"/>
  <c r="M701" i="2"/>
  <c r="M702" i="2" a="1"/>
  <c r="M702" i="2" s="1"/>
  <c r="M703" i="2" a="1"/>
  <c r="M703" i="2" s="1"/>
  <c r="M704" i="2" a="1"/>
  <c r="M704" i="2" s="1"/>
  <c r="M705" i="2" a="1"/>
  <c r="M705" i="2"/>
  <c r="M706" i="2" a="1"/>
  <c r="M706" i="2" s="1"/>
  <c r="M707" i="2" a="1"/>
  <c r="M707" i="2" s="1"/>
  <c r="M708" i="2" a="1"/>
  <c r="M708" i="2" s="1"/>
  <c r="M709" i="2" a="1"/>
  <c r="M709" i="2" s="1"/>
  <c r="M710" i="2" a="1"/>
  <c r="M710" i="2" s="1"/>
  <c r="M711" i="2" a="1"/>
  <c r="M711" i="2"/>
  <c r="M712" i="2" a="1"/>
  <c r="M712" i="2" s="1"/>
  <c r="M713" i="2" a="1"/>
  <c r="M713" i="2"/>
  <c r="M714" i="2" a="1"/>
  <c r="M714" i="2" s="1"/>
  <c r="M715" i="2" a="1"/>
  <c r="M715" i="2" s="1"/>
  <c r="M716" i="2" a="1"/>
  <c r="M716" i="2" s="1"/>
  <c r="M717" i="2" a="1"/>
  <c r="M717" i="2"/>
  <c r="M718" i="2" a="1"/>
  <c r="M718" i="2" s="1"/>
  <c r="M719" i="2" a="1"/>
  <c r="M719" i="2" s="1"/>
  <c r="M720" i="2" a="1"/>
  <c r="M720" i="2" s="1"/>
  <c r="M721" i="2" a="1"/>
  <c r="M721" i="2"/>
  <c r="M722" i="2" a="1"/>
  <c r="M722" i="2" s="1"/>
  <c r="M723" i="2" a="1"/>
  <c r="M723" i="2" s="1"/>
  <c r="M724" i="2" a="1"/>
  <c r="M724" i="2" s="1"/>
  <c r="M725" i="2" a="1"/>
  <c r="M725" i="2" s="1"/>
  <c r="M726" i="2" a="1"/>
  <c r="M726" i="2" s="1"/>
  <c r="M727" i="2" a="1"/>
  <c r="M727" i="2"/>
  <c r="M728" i="2" a="1"/>
  <c r="M728" i="2" s="1"/>
  <c r="M729" i="2" a="1"/>
  <c r="M729" i="2"/>
  <c r="M730" i="2" a="1"/>
  <c r="M730" i="2" s="1"/>
  <c r="M731" i="2" a="1"/>
  <c r="M731" i="2"/>
  <c r="M732" i="2" a="1"/>
  <c r="M732" i="2" s="1"/>
  <c r="M733" i="2" a="1"/>
  <c r="M733" i="2"/>
  <c r="M734" i="2" a="1"/>
  <c r="M734" i="2" s="1"/>
  <c r="M735" i="2" a="1"/>
  <c r="M735" i="2" s="1"/>
  <c r="M736" i="2" a="1"/>
  <c r="M736" i="2" s="1"/>
  <c r="M737" i="2" a="1"/>
  <c r="M737" i="2" s="1"/>
  <c r="M738" i="2" a="1"/>
  <c r="M738" i="2" s="1"/>
  <c r="M739" i="2" a="1"/>
  <c r="M739" i="2" s="1"/>
  <c r="M740" i="2" a="1"/>
  <c r="M740" i="2" s="1"/>
  <c r="M741" i="2" a="1"/>
  <c r="M741" i="2" s="1"/>
  <c r="M742" i="2" a="1"/>
  <c r="M742" i="2" s="1"/>
  <c r="M743" i="2" a="1"/>
  <c r="M743" i="2"/>
  <c r="M744" i="2" a="1"/>
  <c r="M744" i="2" s="1"/>
  <c r="M745" i="2" a="1"/>
  <c r="M745" i="2"/>
  <c r="M746" i="2" a="1"/>
  <c r="M746" i="2" s="1"/>
  <c r="M747" i="2" a="1"/>
  <c r="M747" i="2"/>
  <c r="M748" i="2" a="1"/>
  <c r="M748" i="2" s="1"/>
  <c r="M749" i="2" a="1"/>
  <c r="M749" i="2"/>
  <c r="M750" i="2" a="1"/>
  <c r="M750" i="2" s="1"/>
  <c r="M751" i="2" a="1"/>
  <c r="M751" i="2" s="1"/>
  <c r="M752" i="2" a="1"/>
  <c r="M752" i="2" s="1"/>
  <c r="M753" i="2" a="1"/>
  <c r="M753" i="2" s="1"/>
  <c r="M754" i="2" a="1"/>
  <c r="M754" i="2" s="1"/>
  <c r="M755" i="2" a="1"/>
  <c r="M755" i="2" s="1"/>
  <c r="M756" i="2" a="1"/>
  <c r="M756" i="2" s="1"/>
  <c r="M757" i="2" a="1"/>
  <c r="M757" i="2" s="1"/>
  <c r="M758" i="2" a="1"/>
  <c r="M758" i="2" s="1"/>
  <c r="M759" i="2" a="1"/>
  <c r="M759" i="2"/>
  <c r="M760" i="2" a="1"/>
  <c r="M760" i="2" s="1"/>
  <c r="M761" i="2" a="1"/>
  <c r="M761" i="2"/>
  <c r="M762" i="2" a="1"/>
  <c r="M762" i="2" s="1"/>
  <c r="M763" i="2" a="1"/>
  <c r="M763" i="2"/>
  <c r="M764" i="2" a="1"/>
  <c r="M764" i="2" s="1"/>
  <c r="M765" i="2" a="1"/>
  <c r="M765" i="2"/>
  <c r="M766" i="2" a="1"/>
  <c r="M766" i="2" s="1"/>
  <c r="M767" i="2" a="1"/>
  <c r="M767" i="2" s="1"/>
  <c r="M768" i="2" a="1"/>
  <c r="M768" i="2" s="1"/>
  <c r="M769" i="2" a="1"/>
  <c r="M769" i="2" s="1"/>
  <c r="M770" i="2" a="1"/>
  <c r="M770" i="2" s="1"/>
  <c r="M771" i="2" a="1"/>
  <c r="M771" i="2" s="1"/>
  <c r="M772" i="2" a="1"/>
  <c r="M772" i="2" s="1"/>
  <c r="M773" i="2" a="1"/>
  <c r="M773" i="2" s="1"/>
  <c r="M774" i="2" a="1"/>
  <c r="M774" i="2" s="1"/>
  <c r="M775" i="2" a="1"/>
  <c r="M775" i="2"/>
  <c r="M776" i="2" a="1"/>
  <c r="M776" i="2" s="1"/>
  <c r="M777" i="2" a="1"/>
  <c r="M777" i="2"/>
  <c r="M778" i="2" a="1"/>
  <c r="M778" i="2" s="1"/>
  <c r="M779" i="2" a="1"/>
  <c r="M779" i="2"/>
  <c r="M780" i="2" a="1"/>
  <c r="M780" i="2" s="1"/>
  <c r="M781" i="2" a="1"/>
  <c r="M781" i="2"/>
  <c r="M782" i="2" a="1"/>
  <c r="M782" i="2" s="1"/>
  <c r="M783" i="2" a="1"/>
  <c r="M783" i="2" s="1"/>
  <c r="M784" i="2" a="1"/>
  <c r="M784" i="2" s="1"/>
  <c r="M785" i="2" a="1"/>
  <c r="M785" i="2" s="1"/>
  <c r="M786" i="2" a="1"/>
  <c r="M786" i="2" s="1"/>
  <c r="M787" i="2" a="1"/>
  <c r="M787" i="2" s="1"/>
  <c r="M788" i="2" a="1"/>
  <c r="M788" i="2" s="1"/>
  <c r="M789" i="2" a="1"/>
  <c r="M789" i="2" s="1"/>
  <c r="M790" i="2" a="1"/>
  <c r="M790" i="2" s="1"/>
  <c r="M791" i="2" a="1"/>
  <c r="M791" i="2"/>
  <c r="M792" i="2" a="1"/>
  <c r="M792" i="2" s="1"/>
  <c r="M793" i="2" a="1"/>
  <c r="M793" i="2"/>
  <c r="M794" i="2" a="1"/>
  <c r="M794" i="2" s="1"/>
  <c r="M795" i="2" a="1"/>
  <c r="M795" i="2"/>
  <c r="M796" i="2" a="1"/>
  <c r="M796" i="2" s="1"/>
  <c r="M797" i="2" a="1"/>
  <c r="M797" i="2"/>
  <c r="M798" i="2" a="1"/>
  <c r="M798" i="2" s="1"/>
  <c r="M799" i="2" a="1"/>
  <c r="M799" i="2" s="1"/>
  <c r="M800" i="2" a="1"/>
  <c r="M800" i="2" s="1"/>
  <c r="M801" i="2" a="1"/>
  <c r="M801" i="2" s="1"/>
  <c r="M802" i="2" a="1"/>
  <c r="M802" i="2" s="1"/>
  <c r="M803" i="2" a="1"/>
  <c r="M803" i="2" s="1"/>
  <c r="M804" i="2" a="1"/>
  <c r="M804" i="2" s="1"/>
  <c r="M805" i="2" a="1"/>
  <c r="M805" i="2" s="1"/>
  <c r="M806" i="2" a="1"/>
  <c r="M806" i="2" s="1"/>
  <c r="M807" i="2" a="1"/>
  <c r="M807" i="2"/>
  <c r="M808" i="2" a="1"/>
  <c r="M808" i="2" s="1"/>
  <c r="M809" i="2" a="1"/>
  <c r="M809" i="2"/>
  <c r="M810" i="2" a="1"/>
  <c r="M810" i="2" s="1"/>
  <c r="M811" i="2" a="1"/>
  <c r="M811" i="2"/>
  <c r="M812" i="2" a="1"/>
  <c r="M812" i="2" s="1"/>
  <c r="M813" i="2" a="1"/>
  <c r="M813" i="2"/>
  <c r="M814" i="2" a="1"/>
  <c r="M814" i="2" s="1"/>
  <c r="M815" i="2" a="1"/>
  <c r="M815" i="2" s="1"/>
  <c r="M816" i="2" a="1"/>
  <c r="M816" i="2" s="1"/>
  <c r="M817" i="2" a="1"/>
  <c r="M817" i="2"/>
  <c r="M818" i="2" a="1"/>
  <c r="M818" i="2" s="1"/>
  <c r="M819" i="2" a="1"/>
  <c r="M819" i="2" s="1"/>
  <c r="M820" i="2" a="1"/>
  <c r="M820" i="2" s="1"/>
  <c r="M821" i="2" a="1"/>
  <c r="M821" i="2" s="1"/>
  <c r="M822" i="2" a="1"/>
  <c r="M822" i="2" s="1"/>
  <c r="M823" i="2" a="1"/>
  <c r="M823" i="2"/>
  <c r="M824" i="2" a="1"/>
  <c r="M824" i="2" s="1"/>
  <c r="M825" i="2" a="1"/>
  <c r="M825" i="2"/>
  <c r="M826" i="2" a="1"/>
  <c r="M826" i="2" s="1"/>
  <c r="M827" i="2" a="1"/>
  <c r="M827" i="2"/>
  <c r="M828" i="2" a="1"/>
  <c r="M828" i="2" s="1"/>
  <c r="M829" i="2" a="1"/>
  <c r="M829" i="2"/>
  <c r="M830" i="2" a="1"/>
  <c r="M830" i="2" s="1"/>
  <c r="M831" i="2" a="1"/>
  <c r="M831" i="2" s="1"/>
  <c r="M832" i="2" a="1"/>
  <c r="M832" i="2" s="1"/>
  <c r="M833" i="2" a="1"/>
  <c r="M833" i="2"/>
  <c r="M834" i="2" a="1"/>
  <c r="M834" i="2" s="1"/>
  <c r="M835" i="2" a="1"/>
  <c r="M835" i="2" s="1"/>
  <c r="M836" i="2" a="1"/>
  <c r="M836" i="2" s="1"/>
  <c r="M837" i="2" a="1"/>
  <c r="M837" i="2" s="1"/>
  <c r="M838" i="2" a="1"/>
  <c r="M838" i="2" s="1"/>
  <c r="M839" i="2" a="1"/>
  <c r="M839" i="2"/>
  <c r="M840" i="2" a="1"/>
  <c r="M840" i="2" s="1"/>
  <c r="M841" i="2" a="1"/>
  <c r="M841" i="2"/>
  <c r="M842" i="2" a="1"/>
  <c r="M842" i="2" s="1"/>
  <c r="M843" i="2" a="1"/>
  <c r="M843" i="2"/>
  <c r="M844" i="2" a="1"/>
  <c r="M844" i="2" s="1"/>
  <c r="M845" i="2" a="1"/>
  <c r="M845" i="2"/>
  <c r="M846" i="2" a="1"/>
  <c r="M846" i="2" s="1"/>
  <c r="M847" i="2" a="1"/>
  <c r="M847" i="2" s="1"/>
  <c r="M848" i="2" a="1"/>
  <c r="M848" i="2" s="1"/>
  <c r="M849" i="2" a="1"/>
  <c r="M849" i="2"/>
  <c r="M850" i="2" a="1"/>
  <c r="M850" i="2" s="1"/>
  <c r="M851" i="2" a="1"/>
  <c r="M851" i="2" s="1"/>
  <c r="M852" i="2" a="1"/>
  <c r="M852" i="2" s="1"/>
  <c r="M853" i="2" a="1"/>
  <c r="M853" i="2" s="1"/>
  <c r="M854" i="2" a="1"/>
  <c r="M854" i="2" s="1"/>
  <c r="M855" i="2" a="1"/>
  <c r="M855" i="2"/>
  <c r="M856" i="2" a="1"/>
  <c r="M856" i="2" s="1"/>
  <c r="M857" i="2" a="1"/>
  <c r="M857" i="2"/>
  <c r="M858" i="2" a="1"/>
  <c r="M858" i="2" s="1"/>
  <c r="M859" i="2" a="1"/>
  <c r="M859" i="2"/>
  <c r="M860" i="2" a="1"/>
  <c r="M860" i="2" s="1"/>
  <c r="M861" i="2" a="1"/>
  <c r="M861" i="2"/>
  <c r="M862" i="2" a="1"/>
  <c r="M862" i="2" s="1"/>
  <c r="M863" i="2" a="1"/>
  <c r="M863" i="2" s="1"/>
  <c r="M864" i="2" a="1"/>
  <c r="M864" i="2" s="1"/>
  <c r="M865" i="2" a="1"/>
  <c r="M865" i="2"/>
  <c r="M866" i="2" a="1"/>
  <c r="M866" i="2" s="1"/>
  <c r="M867" i="2" a="1"/>
  <c r="M867" i="2" s="1"/>
  <c r="M868" i="2" a="1"/>
  <c r="M868" i="2" s="1"/>
  <c r="M869" i="2" a="1"/>
  <c r="M869" i="2" s="1"/>
  <c r="M870" i="2" a="1"/>
  <c r="M870" i="2" s="1"/>
  <c r="M871" i="2" a="1"/>
  <c r="M871" i="2"/>
  <c r="M872" i="2" a="1"/>
  <c r="M872" i="2" s="1"/>
  <c r="M873" i="2" a="1"/>
  <c r="M873" i="2"/>
  <c r="M874" i="2" a="1"/>
  <c r="M874" i="2" s="1"/>
  <c r="M875" i="2" a="1"/>
  <c r="M875" i="2"/>
  <c r="M876" i="2" a="1"/>
  <c r="M876" i="2"/>
  <c r="M877" i="2" a="1"/>
  <c r="M877" i="2" s="1"/>
  <c r="M878" i="2" a="1"/>
  <c r="M878" i="2" s="1"/>
  <c r="M879" i="2" a="1"/>
  <c r="M879" i="2" s="1"/>
  <c r="M880" i="2" a="1"/>
  <c r="M880" i="2"/>
  <c r="M881" i="2" a="1"/>
  <c r="M881" i="2"/>
  <c r="M882" i="2" a="1"/>
  <c r="M882" i="2" s="1"/>
  <c r="M883" i="2" a="1"/>
  <c r="M883" i="2" s="1"/>
  <c r="M884" i="2" a="1"/>
  <c r="M884" i="2"/>
  <c r="M885" i="2" a="1"/>
  <c r="M885" i="2"/>
  <c r="M886" i="2" a="1"/>
  <c r="M886" i="2" s="1"/>
  <c r="M887" i="2" a="1"/>
  <c r="M887" i="2"/>
  <c r="M888" i="2" a="1"/>
  <c r="M888" i="2" s="1"/>
  <c r="M889" i="2" a="1"/>
  <c r="M889" i="2"/>
  <c r="M890" i="2" a="1"/>
  <c r="M890" i="2" s="1"/>
  <c r="M891" i="2" a="1"/>
  <c r="M891" i="2" s="1"/>
  <c r="M892" i="2" a="1"/>
  <c r="M892" i="2" s="1"/>
  <c r="M893" i="2" a="1"/>
  <c r="M893" i="2"/>
  <c r="M894" i="2" a="1"/>
  <c r="M894" i="2" s="1"/>
  <c r="M895" i="2" a="1"/>
  <c r="M895" i="2"/>
  <c r="M896" i="2" a="1"/>
  <c r="M896" i="2"/>
  <c r="M897" i="2" a="1"/>
  <c r="M897" i="2" s="1"/>
  <c r="M898" i="2" a="1"/>
  <c r="M898" i="2" s="1"/>
  <c r="M899" i="2" a="1"/>
  <c r="M899" i="2"/>
  <c r="M900" i="2" a="1"/>
  <c r="M900" i="2" s="1"/>
  <c r="M901" i="2" a="1"/>
  <c r="M901" i="2" s="1"/>
  <c r="M902" i="2" a="1"/>
  <c r="M902" i="2" s="1"/>
  <c r="M903" i="2" a="1"/>
  <c r="M903" i="2"/>
  <c r="M904" i="2" a="1"/>
  <c r="M904" i="2"/>
  <c r="M905" i="2" a="1"/>
  <c r="M905" i="2"/>
  <c r="M906" i="2" a="1"/>
  <c r="M906" i="2" s="1"/>
  <c r="M907" i="2" a="1"/>
  <c r="M907" i="2"/>
  <c r="M908" i="2" a="1"/>
  <c r="M908" i="2"/>
  <c r="M909" i="2" a="1"/>
  <c r="M909" i="2" s="1"/>
  <c r="M910" i="2" a="1"/>
  <c r="M910" i="2" s="1"/>
  <c r="M911" i="2" a="1"/>
  <c r="M911" i="2" s="1"/>
  <c r="M912" i="2" a="1"/>
  <c r="M912" i="2"/>
  <c r="M913" i="2" a="1"/>
  <c r="M913" i="2"/>
  <c r="M914" i="2" a="1"/>
  <c r="M914" i="2" s="1"/>
  <c r="M915" i="2" a="1"/>
  <c r="M915" i="2" s="1"/>
  <c r="M916" i="2" a="1"/>
  <c r="M916" i="2"/>
  <c r="M917" i="2" a="1"/>
  <c r="M917" i="2"/>
  <c r="M918" i="2" a="1"/>
  <c r="M918" i="2" s="1"/>
  <c r="M919" i="2" a="1"/>
  <c r="M919" i="2"/>
  <c r="M920" i="2" a="1"/>
  <c r="M920" i="2" s="1"/>
  <c r="M921" i="2" a="1"/>
  <c r="M921" i="2"/>
  <c r="M922" i="2" a="1"/>
  <c r="M922" i="2"/>
  <c r="M923" i="2" a="1"/>
  <c r="M923" i="2"/>
  <c r="M924" i="2" a="1"/>
  <c r="M924" i="2" s="1"/>
  <c r="M925" i="2" a="1"/>
  <c r="M925" i="2"/>
  <c r="M926" i="2" a="1"/>
  <c r="M926" i="2"/>
  <c r="M927" i="2" a="1"/>
  <c r="M927" i="2"/>
  <c r="M928" i="2" a="1"/>
  <c r="M928" i="2" s="1"/>
  <c r="M929" i="2" a="1"/>
  <c r="M929" i="2"/>
  <c r="M930" i="2" a="1"/>
  <c r="M930" i="2"/>
  <c r="M931" i="2" a="1"/>
  <c r="M931" i="2"/>
  <c r="M932" i="2" a="1"/>
  <c r="M932" i="2" s="1"/>
  <c r="M933" i="2" a="1"/>
  <c r="M933" i="2"/>
  <c r="M934" i="2" a="1"/>
  <c r="M934" i="2"/>
  <c r="M935" i="2" a="1"/>
  <c r="M935" i="2"/>
  <c r="M936" i="2" a="1"/>
  <c r="M936" i="2" s="1"/>
  <c r="M937" i="2" a="1"/>
  <c r="M937" i="2"/>
  <c r="M938" i="2" a="1"/>
  <c r="M938" i="2"/>
  <c r="M939" i="2" a="1"/>
  <c r="M939" i="2"/>
  <c r="M940" i="2" a="1"/>
  <c r="M940" i="2" s="1"/>
  <c r="M941" i="2" a="1"/>
  <c r="M941" i="2"/>
  <c r="M942" i="2" a="1"/>
  <c r="M942" i="2"/>
  <c r="M943" i="2" a="1"/>
  <c r="M943" i="2"/>
  <c r="M944" i="2" a="1"/>
  <c r="M944" i="2" s="1"/>
  <c r="M945" i="2" a="1"/>
  <c r="M945" i="2"/>
  <c r="M946" i="2" a="1"/>
  <c r="M946" i="2"/>
  <c r="M947" i="2" a="1"/>
  <c r="M947" i="2"/>
  <c r="M948" i="2" a="1"/>
  <c r="M948" i="2" s="1"/>
  <c r="M949" i="2" a="1"/>
  <c r="M949" i="2"/>
  <c r="M950" i="2" a="1"/>
  <c r="M950" i="2"/>
  <c r="M951" i="2" a="1"/>
  <c r="M951" i="2"/>
  <c r="M952" i="2" a="1"/>
  <c r="M952" i="2" s="1"/>
  <c r="M953" i="2" a="1"/>
  <c r="M953" i="2" s="1"/>
  <c r="M954" i="2" a="1"/>
  <c r="M954" i="2"/>
  <c r="M955" i="2" a="1"/>
  <c r="M955" i="2"/>
  <c r="M956" i="2" a="1"/>
  <c r="M956" i="2" s="1"/>
  <c r="M957" i="2" a="1"/>
  <c r="M957" i="2" s="1"/>
  <c r="M958" i="2" a="1"/>
  <c r="M958" i="2"/>
  <c r="M959" i="2" a="1"/>
  <c r="M959" i="2"/>
  <c r="M960" i="2" a="1"/>
  <c r="M960" i="2" s="1"/>
  <c r="M961" i="2" a="1"/>
  <c r="M961" i="2" s="1"/>
  <c r="M962" i="2" a="1"/>
  <c r="M962" i="2"/>
  <c r="M963" i="2" a="1"/>
  <c r="M963" i="2"/>
  <c r="M964" i="2" a="1"/>
  <c r="M964" i="2" s="1"/>
  <c r="M965" i="2" a="1"/>
  <c r="M965" i="2" s="1"/>
  <c r="M966" i="2" a="1"/>
  <c r="M966" i="2"/>
  <c r="M967" i="2" a="1"/>
  <c r="M967" i="2"/>
  <c r="M968" i="2" a="1"/>
  <c r="M968" i="2" s="1"/>
  <c r="M969" i="2" a="1"/>
  <c r="M969" i="2" s="1"/>
  <c r="M970" i="2" a="1"/>
  <c r="M970" i="2"/>
  <c r="M971" i="2" a="1"/>
  <c r="M971" i="2"/>
  <c r="M972" i="2" a="1"/>
  <c r="M972" i="2" s="1"/>
  <c r="M973" i="2" a="1"/>
  <c r="M973" i="2" s="1"/>
  <c r="M974" i="2" a="1"/>
  <c r="M974" i="2"/>
  <c r="M975" i="2" a="1"/>
  <c r="M975" i="2"/>
  <c r="M976" i="2" a="1"/>
  <c r="M976" i="2" s="1"/>
  <c r="M977" i="2" a="1"/>
  <c r="M977" i="2" s="1"/>
  <c r="M978" i="2" a="1"/>
  <c r="M978" i="2"/>
  <c r="M979" i="2" a="1"/>
  <c r="M979" i="2"/>
  <c r="M980" i="2" a="1"/>
  <c r="M980" i="2" s="1"/>
  <c r="M981" i="2" a="1"/>
  <c r="M981" i="2" s="1"/>
  <c r="M982" i="2" a="1"/>
  <c r="M982" i="2"/>
  <c r="M983" i="2" a="1"/>
  <c r="M983" i="2"/>
  <c r="M984" i="2" a="1"/>
  <c r="M984" i="2" s="1"/>
  <c r="M985" i="2" a="1"/>
  <c r="M985" i="2" s="1"/>
  <c r="M986" i="2" a="1"/>
  <c r="M986" i="2"/>
  <c r="M987" i="2" a="1"/>
  <c r="M987" i="2"/>
  <c r="M988" i="2" a="1"/>
  <c r="M988" i="2" s="1"/>
  <c r="M989" i="2" a="1"/>
  <c r="M989" i="2" s="1"/>
  <c r="M990" i="2" a="1"/>
  <c r="M990" i="2"/>
  <c r="M991" i="2" a="1"/>
  <c r="M991" i="2"/>
  <c r="M992" i="2" a="1"/>
  <c r="M992" i="2" s="1"/>
  <c r="M993" i="2" a="1"/>
  <c r="M993" i="2" s="1"/>
  <c r="M994" i="2" a="1"/>
  <c r="M994" i="2"/>
  <c r="M995" i="2" a="1"/>
  <c r="M995" i="2"/>
  <c r="M996" i="2" a="1"/>
  <c r="M996" i="2" s="1"/>
  <c r="M997" i="2" a="1"/>
  <c r="M997" i="2" s="1"/>
  <c r="M998" i="2" a="1"/>
  <c r="M998" i="2"/>
  <c r="M999" i="2" a="1"/>
  <c r="M999" i="2"/>
  <c r="M1000" i="2" a="1"/>
  <c r="M1000" i="2" s="1"/>
  <c r="M1001" i="2" a="1"/>
  <c r="M1001" i="2"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<sst xmlns="http://schemas.openxmlformats.org/spreadsheetml/2006/main" count="16266" uniqueCount="50">
  <si>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</si>
  <si>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</si>
  <si>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</si>
  <si>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</si>
  <si>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</si>
  <si>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</si>
  <si>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</si>
  <si>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</si>
  <si>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</si>
  <si>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</si>
  <si>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</si>
  <si>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</si>
  <si>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</si>
  <si>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</si>
  <si>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</si>
  <si>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</si>
  <si>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</si>
  <si>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</si>
  <si>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</si>
  <si>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</si>
  <si>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</si>
  <si>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</si>
  <si>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</si>
  <si>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</si>
  <si>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</si>
  <si>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</si>
  <si>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</si>
  <si>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</si>
  <si>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</si>
  <si>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</si>
  <si>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</si>
  <si>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</si>
  <si>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</si>
  <si>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</si>
  <si>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</si>
  <si>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</si>
  <si>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</si>
  <si>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</si>
  <si>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</si>
  <si>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</si>
  <si>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Bracket</t>
  </si>
  <si>
    <t>Row Labels</t>
  </si>
  <si>
    <t>Grand Total</t>
  </si>
  <si>
    <t>Average of Income</t>
  </si>
  <si>
    <t>Column Labels</t>
  </si>
  <si>
    <t>Count of Purchased Bike</t>
  </si>
  <si>
    <t>More than 10 Miles</t>
  </si>
  <si>
    <t>Old</t>
  </si>
  <si>
    <t>Young</t>
  </si>
  <si>
    <t>Bike Sales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</si>
</sst>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7" formatCode="_ * #,##0_ ;_ * \-#,##0_ ;_ * &quot;-&quot;??_ ;_ @_ "/>
  </numFmts>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48"/>
      <color theme="2"/>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00206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0">
    <xf numFmtId="0" fontId="0" fillId="0" borderId="0" xfId="0"/>
    <xf numFmtId="164" fontId="0" fillId="0" borderId="0" xfId="0" applyNumberFormat="1"/>
    <xf numFmtId="0" fontId="18" fillId="0" borderId="0" xfId="0" applyFont="1"/>
    <xf numFmtId="1" fontId="0" fillId="0" borderId="0" xfId="0" applyNumberFormat="1"/>
    <xf numFmtId="0" fontId="0" fillId="0" borderId="0" xfId="0" pivotButton="1"/>
    <xf numFmtId="0" fontId="0" fillId="0" borderId="0" xfId="0" applyAlignment="1">
      <alignment horizontal="left"/>
    </xf>
    <xf numFmtId="167" fontId="0" fillId="0" borderId="0" xfId="0" applyNumberFormat="1"/>
    <xf numFmtId="0" fontId="0" fillId="0" borderId="0" xfId="0" applyNumberFormat="1"/>
    <xf numFmtId="0" fontId="19" fillId="33" borderId="0" xfId="0" applyFont="1" applyFill="1" applyAlignment="1">
      <alignment horizontal="center" vertical="center"/>
    </xf>
    <xf numFmtId="0" fontId="0" fillId="33" borderId="0" xfId="0" applyFill="1" applyAlignment="1">
      <alignment horizontal="center" vertic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26">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
      <numFmt numFmtId="167" formatCode="_ * #,##0_ ;_ * \-#,##0_ ;_ * &quot;-&quot;??_ ;_ @_ "/>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eetMetadata" Target="metadata.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haredStrings" Target="sharedStrings.xml"/><Relationship Id="rId5" Type="http://schemas.openxmlformats.org/officeDocument/2006/relationships/pivotCacheDefinition" Target="pivotCache/pivotCacheDefinition1.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0"/>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DC67-42F7-8B50-639895F7B0DC}"/>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DC67-42F7-8B50-639895F7B0DC}"/>
            </c:ext>
          </c:extLst>
        </c:ser>
        <c:dLbls>
          <c:showLegendKey val="0"/>
          <c:showVal val="0"/>
          <c:showCatName val="0"/>
          <c:showSerName val="0"/>
          <c:showPercent val="0"/>
          <c:showBubbleSize val="0"/>
        </c:dLbls>
        <c:gapWidth val="219"/>
        <c:overlap val="-27"/>
        <c:axId val="1306368895"/>
        <c:axId val="1306369375"/>
      </c:barChart>
      <c:catAx>
        <c:axId val="130636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9375"/>
        <c:crosses val="autoZero"/>
        <c:auto val="1"/>
        <c:lblAlgn val="ctr"/>
        <c:lblOffset val="100"/>
        <c:noMultiLvlLbl val="0"/>
      </c:catAx>
      <c:valAx>
        <c:axId val="130636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8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1424-4A87-9DE2-8A9303070C6D}"/>
            </c:ext>
          </c:extLst>
        </c:ser>
        <c:ser>
          <c:idx val="1"/>
          <c:order val="1"/>
          <c:tx>
            <c:strRef>
              <c:f>'Pivot Table'!$C$21:$C$22</c:f>
              <c:strCache>
                <c:ptCount val="1"/>
                <c:pt idx="0">
                  <c:v>Yes</c:v>
                </c:pt>
              </c:strCache>
            </c:strRef>
          </c:tx>
          <c:spPr>
            <a:ln w="28575" cap="rnd">
              <a:solidFill>
                <a:schemeClr val="accent2"/>
              </a:solidFill>
              <a:round/>
            </a:ln>
            <a:effectLst/>
          </c:spPr>
          <c:marker>
            <c:symbol val="none"/>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1424-4A87-9DE2-8A9303070C6D}"/>
            </c:ext>
          </c:extLst>
        </c:ser>
        <c:dLbls>
          <c:showLegendKey val="0"/>
          <c:showVal val="0"/>
          <c:showCatName val="0"/>
          <c:showSerName val="0"/>
          <c:showPercent val="0"/>
          <c:showBubbleSize val="0"/>
        </c:dLbls>
        <c:smooth val="0"/>
        <c:axId val="1610031487"/>
        <c:axId val="1610045407"/>
      </c:lineChart>
      <c:catAx>
        <c:axId val="161003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8909601924759407"/>
              <c:y val="0.8287751531058619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45407"/>
        <c:crosses val="autoZero"/>
        <c:auto val="1"/>
        <c:lblAlgn val="ctr"/>
        <c:lblOffset val="100"/>
        <c:noMultiLvlLbl val="0"/>
      </c:catAx>
      <c:valAx>
        <c:axId val="161004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3148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layout>
        <c:manualLayout>
          <c:xMode val="edge"/>
          <c:yMode val="edge"/>
          <c:x val="0.3072430008748906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59E-2"/>
          <c:y val="0.19342373869932925"/>
          <c:w val="0.6735301837270341"/>
          <c:h val="0.65853091280256637"/>
        </c:manualLayout>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Table'!$A$12:$A$14</c:f>
              <c:strCache>
                <c:ptCount val="2"/>
                <c:pt idx="0">
                  <c:v>Old</c:v>
                </c:pt>
                <c:pt idx="1">
                  <c:v>Young</c:v>
                </c:pt>
              </c:strCache>
            </c:strRef>
          </c:cat>
          <c:val>
            <c:numRef>
              <c:f>'Pivot Table'!$B$12:$B$14</c:f>
              <c:numCache>
                <c:formatCode>General</c:formatCode>
                <c:ptCount val="2"/>
                <c:pt idx="0">
                  <c:v>178</c:v>
                </c:pt>
                <c:pt idx="1">
                  <c:v>341</c:v>
                </c:pt>
              </c:numCache>
            </c:numRef>
          </c:val>
          <c:smooth val="0"/>
          <c:extLst>
            <c:ext xmlns:c16="http://schemas.microsoft.com/office/drawing/2014/chart" uri="{C3380CC4-5D6E-409C-BE32-E72D297353CC}">
              <c16:uniqueId val="{00000000-FDE4-4408-8D4C-72A465866056}"/>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Table'!$A$12:$A$14</c:f>
              <c:strCache>
                <c:ptCount val="2"/>
                <c:pt idx="0">
                  <c:v>Old</c:v>
                </c:pt>
                <c:pt idx="1">
                  <c:v>Young</c:v>
                </c:pt>
              </c:strCache>
            </c:strRef>
          </c:cat>
          <c:val>
            <c:numRef>
              <c:f>'Pivot Table'!$C$12:$C$14</c:f>
              <c:numCache>
                <c:formatCode>General</c:formatCode>
                <c:ptCount val="2"/>
                <c:pt idx="0">
                  <c:v>122</c:v>
                </c:pt>
                <c:pt idx="1">
                  <c:v>359</c:v>
                </c:pt>
              </c:numCache>
            </c:numRef>
          </c:val>
          <c:smooth val="0"/>
          <c:extLst>
            <c:ext xmlns:c16="http://schemas.microsoft.com/office/drawing/2014/chart" uri="{C3380CC4-5D6E-409C-BE32-E72D297353CC}">
              <c16:uniqueId val="{00000001-FDE4-4408-8D4C-72A465866056}"/>
            </c:ext>
          </c:extLst>
        </c:ser>
        <c:dLbls>
          <c:showLegendKey val="0"/>
          <c:showVal val="0"/>
          <c:showCatName val="0"/>
          <c:showSerName val="0"/>
          <c:showPercent val="0"/>
          <c:showBubbleSize val="0"/>
        </c:dLbls>
        <c:smooth val="0"/>
        <c:axId val="1610046847"/>
        <c:axId val="1610030527"/>
      </c:lineChart>
      <c:catAx>
        <c:axId val="161004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manualLayout>
              <c:xMode val="edge"/>
              <c:yMode val="edge"/>
              <c:x val="0.42927646544181974"/>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30527"/>
        <c:crosses val="autoZero"/>
        <c:auto val="1"/>
        <c:lblAlgn val="ctr"/>
        <c:lblOffset val="100"/>
        <c:noMultiLvlLbl val="0"/>
      </c:catAx>
      <c:valAx>
        <c:axId val="161003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Table!PivotTable1</c:name>
    <c:fmtId val="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0.21650808416308698"/>
          <c:y val="0.16764448561576861"/>
          <c:w val="0.55425729473848584"/>
          <c:h val="0.35007848283670423"/>
        </c:manualLayout>
      </c:layout>
      <c:barChart>
        <c:barDir val="col"/>
        <c:grouping val="clustered"/>
        <c:varyColors val="0"/>
        <c:ser>
          <c:idx val="0"/>
          <c:order val="0"/>
          <c:tx>
            <c:strRef>
              <c:f>'Pivot Table'!$B$3:$B$4</c:f>
              <c:strCache>
                <c:ptCount val="1"/>
                <c:pt idx="0">
                  <c:v>No</c:v>
                </c:pt>
              </c:strCache>
            </c:strRef>
          </c:tx>
          <c:spPr>
            <a:solidFill>
              <a:schemeClr val="accent1"/>
            </a:solidFill>
            <a:ln>
              <a:noFill/>
            </a:ln>
            <a:effectLst/>
          </c:spPr>
          <c:invertIfNegative val="0"/>
          <c:cat>
            <c:strRef>
              <c:f>'Pivot Table'!$A$5:$A$7</c:f>
              <c:strCache>
                <c:ptCount val="2"/>
                <c:pt idx="0">
                  <c:v>Female</c:v>
                </c:pt>
                <c:pt idx="1">
                  <c:v>Male</c:v>
                </c:pt>
              </c:strCache>
            </c:strRef>
          </c:cat>
          <c:val>
            <c:numRef>
              <c:f>'Pivot Table'!$B$5:$B$7</c:f>
              <c:numCache>
                <c:formatCode>_ * #,##0_ ;_ * \-#,##0_ ;_ * "-"??_ ;_ @_ </c:formatCode>
                <c:ptCount val="2"/>
                <c:pt idx="0">
                  <c:v>53440</c:v>
                </c:pt>
                <c:pt idx="1">
                  <c:v>56208.178438661707</c:v>
                </c:pt>
              </c:numCache>
            </c:numRef>
          </c:val>
          <c:extLst>
            <c:ext xmlns:c16="http://schemas.microsoft.com/office/drawing/2014/chart" uri="{C3380CC4-5D6E-409C-BE32-E72D297353CC}">
              <c16:uniqueId val="{00000000-3AE6-479F-A9A6-76EFDD2605A9}"/>
            </c:ext>
          </c:extLst>
        </c:ser>
        <c:ser>
          <c:idx val="1"/>
          <c:order val="1"/>
          <c:tx>
            <c:strRef>
              <c:f>'Pivot Table'!$C$3:$C$4</c:f>
              <c:strCache>
                <c:ptCount val="1"/>
                <c:pt idx="0">
                  <c:v>Yes</c:v>
                </c:pt>
              </c:strCache>
            </c:strRef>
          </c:tx>
          <c:spPr>
            <a:solidFill>
              <a:schemeClr val="accent2"/>
            </a:solidFill>
            <a:ln>
              <a:noFill/>
            </a:ln>
            <a:effectLst/>
          </c:spPr>
          <c:invertIfNegative val="0"/>
          <c:cat>
            <c:strRef>
              <c:f>'Pivot Table'!$A$5:$A$7</c:f>
              <c:strCache>
                <c:ptCount val="2"/>
                <c:pt idx="0">
                  <c:v>Female</c:v>
                </c:pt>
                <c:pt idx="1">
                  <c:v>Male</c:v>
                </c:pt>
              </c:strCache>
            </c:strRef>
          </c:cat>
          <c:val>
            <c:numRef>
              <c:f>'Pivot Table'!$C$5:$C$7</c:f>
              <c:numCache>
                <c:formatCode>_ * #,##0_ ;_ * \-#,##0_ ;_ * "-"??_ ;_ @_ </c:formatCode>
                <c:ptCount val="2"/>
                <c:pt idx="0">
                  <c:v>55774.058577405856</c:v>
                </c:pt>
                <c:pt idx="1">
                  <c:v>60123.966942148763</c:v>
                </c:pt>
              </c:numCache>
            </c:numRef>
          </c:val>
          <c:extLst>
            <c:ext xmlns:c16="http://schemas.microsoft.com/office/drawing/2014/chart" uri="{C3380CC4-5D6E-409C-BE32-E72D297353CC}">
              <c16:uniqueId val="{00000001-3AE6-479F-A9A6-76EFDD2605A9}"/>
            </c:ext>
          </c:extLst>
        </c:ser>
        <c:dLbls>
          <c:showLegendKey val="0"/>
          <c:showVal val="0"/>
          <c:showCatName val="0"/>
          <c:showSerName val="0"/>
          <c:showPercent val="0"/>
          <c:showBubbleSize val="0"/>
        </c:dLbls>
        <c:gapWidth val="219"/>
        <c:overlap val="-27"/>
        <c:axId val="1306368895"/>
        <c:axId val="1306369375"/>
      </c:barChart>
      <c:catAx>
        <c:axId val="1306368895"/>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9375"/>
        <c:crosses val="autoZero"/>
        <c:auto val="1"/>
        <c:lblAlgn val="ctr"/>
        <c:lblOffset val="100"/>
        <c:noMultiLvlLbl val="0"/>
      </c:catAx>
      <c:valAx>
        <c:axId val="130636937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_ * #,##0_ ;_ * \-#,##0_ ;_ * &quot;-&quot;??_ ;_ @_ "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306368895"/>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layout>
        <c:manualLayout>
          <c:xMode val="edge"/>
          <c:yMode val="edge"/>
          <c:x val="0.78073210155802641"/>
          <c:y val="0.36851894738647867"/>
          <c:w val="0.19933445312906697"/>
          <c:h val="0.26296167635908257"/>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Commute</a:t>
            </a:r>
          </a:p>
        </c:rich>
      </c:tx>
      <c:layout>
        <c:manualLayout>
          <c:xMode val="edge"/>
          <c:yMode val="edge"/>
          <c:x val="0.40720588197040286"/>
          <c:y val="6.2381525226013416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5097112860892383E-2"/>
          <c:y val="0.18862687736949546"/>
          <c:w val="0.70929339357852828"/>
          <c:h val="0.5306621828521435"/>
        </c:manualLayout>
      </c:layout>
      <c:lineChart>
        <c:grouping val="standard"/>
        <c:varyColors val="0"/>
        <c:ser>
          <c:idx val="0"/>
          <c:order val="0"/>
          <c:tx>
            <c:strRef>
              <c:f>'Pivot Table'!$B$21:$B$22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Table'!$B$23:$B$28</c:f>
              <c:numCache>
                <c:formatCode>General</c:formatCode>
                <c:ptCount val="5"/>
                <c:pt idx="0">
                  <c:v>166</c:v>
                </c:pt>
                <c:pt idx="1">
                  <c:v>92</c:v>
                </c:pt>
                <c:pt idx="2">
                  <c:v>67</c:v>
                </c:pt>
                <c:pt idx="3">
                  <c:v>116</c:v>
                </c:pt>
                <c:pt idx="4">
                  <c:v>78</c:v>
                </c:pt>
              </c:numCache>
            </c:numRef>
          </c:val>
          <c:smooth val="0"/>
          <c:extLst>
            <c:ext xmlns:c16="http://schemas.microsoft.com/office/drawing/2014/chart" uri="{C3380CC4-5D6E-409C-BE32-E72D297353CC}">
              <c16:uniqueId val="{00000000-525E-4816-BB44-83A66E43B940}"/>
            </c:ext>
          </c:extLst>
        </c:ser>
        <c:ser>
          <c:idx val="1"/>
          <c:order val="1"/>
          <c:tx>
            <c:strRef>
              <c:f>'Pivot Table'!$C$21:$C$22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Table'!$A$23:$A$28</c:f>
              <c:strCache>
                <c:ptCount val="5"/>
                <c:pt idx="0">
                  <c:v>0-1 Miles</c:v>
                </c:pt>
                <c:pt idx="1">
                  <c:v>1-2 Miles</c:v>
                </c:pt>
                <c:pt idx="2">
                  <c:v>2-5 Miles</c:v>
                </c:pt>
                <c:pt idx="3">
                  <c:v>5-10 Miles</c:v>
                </c:pt>
                <c:pt idx="4">
                  <c:v>More than 10 Miles</c:v>
                </c:pt>
              </c:strCache>
            </c:strRef>
          </c:cat>
          <c:val>
            <c:numRef>
              <c:f>'Pivot Table'!$C$23:$C$28</c:f>
              <c:numCache>
                <c:formatCode>General</c:formatCode>
                <c:ptCount val="5"/>
                <c:pt idx="0">
                  <c:v>200</c:v>
                </c:pt>
                <c:pt idx="1">
                  <c:v>77</c:v>
                </c:pt>
                <c:pt idx="2">
                  <c:v>95</c:v>
                </c:pt>
                <c:pt idx="3">
                  <c:v>76</c:v>
                </c:pt>
                <c:pt idx="4">
                  <c:v>33</c:v>
                </c:pt>
              </c:numCache>
            </c:numRef>
          </c:val>
          <c:smooth val="0"/>
          <c:extLst>
            <c:ext xmlns:c16="http://schemas.microsoft.com/office/drawing/2014/chart" uri="{C3380CC4-5D6E-409C-BE32-E72D297353CC}">
              <c16:uniqueId val="{00000001-525E-4816-BB44-83A66E43B940}"/>
            </c:ext>
          </c:extLst>
        </c:ser>
        <c:dLbls>
          <c:showLegendKey val="0"/>
          <c:showVal val="0"/>
          <c:showCatName val="0"/>
          <c:showSerName val="0"/>
          <c:showPercent val="0"/>
          <c:showBubbleSize val="0"/>
        </c:dLbls>
        <c:marker val="1"/>
        <c:smooth val="0"/>
        <c:axId val="1610031487"/>
        <c:axId val="1610045407"/>
      </c:lineChart>
      <c:catAx>
        <c:axId val="161003148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Commute Distance</a:t>
                </a:r>
              </a:p>
            </c:rich>
          </c:tx>
          <c:layout>
            <c:manualLayout>
              <c:xMode val="edge"/>
              <c:yMode val="edge"/>
              <c:x val="0.34576272965879268"/>
              <c:y val="0.82877515310586181"/>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45407"/>
        <c:crosses val="autoZero"/>
        <c:auto val="1"/>
        <c:lblAlgn val="ctr"/>
        <c:lblOffset val="100"/>
        <c:noMultiLvlLbl val="0"/>
      </c:catAx>
      <c:valAx>
        <c:axId val="161004540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31487"/>
        <c:crosses val="autoZero"/>
        <c:crossBetween val="between"/>
      </c:valAx>
      <c:spPr>
        <a:noFill/>
        <a:ln>
          <a:noFill/>
        </a:ln>
        <a:effectLst/>
      </c:spPr>
    </c:plotArea>
    <c:legend>
      <c:legendPos val="r"/>
      <c:layout>
        <c:manualLayout>
          <c:xMode val="edge"/>
          <c:yMode val="edge"/>
          <c:x val="0.8110868326791163"/>
          <c:y val="0.27725065616797895"/>
          <c:w val="0.17557975594973321"/>
          <c:h val="0.2682209098862642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 Project Dataset.xlsx]Pivot Table!PivotTable3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IN"/>
              <a:t>Customer Age</a:t>
            </a:r>
            <a:r>
              <a:rPr lang="en-IN" baseline="0"/>
              <a:t> Brackets</a:t>
            </a:r>
            <a:endParaRPr lang="en-IN"/>
          </a:p>
        </c:rich>
      </c:tx>
      <c:layout>
        <c:manualLayout>
          <c:xMode val="edge"/>
          <c:yMode val="edge"/>
          <c:x val="0.30724300087489065"/>
          <c:y val="9.6201516477107021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IN"/>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9.3136482939632559E-2"/>
          <c:y val="0.19342373869932925"/>
          <c:w val="0.6735301837270341"/>
          <c:h val="0.65853091280256637"/>
        </c:manualLayout>
      </c:layout>
      <c:lineChart>
        <c:grouping val="standard"/>
        <c:varyColors val="0"/>
        <c:ser>
          <c:idx val="0"/>
          <c:order val="0"/>
          <c:tx>
            <c:strRef>
              <c:f>'Pivot Table'!$B$10:$B$11</c:f>
              <c:strCache>
                <c:ptCount val="1"/>
                <c:pt idx="0">
                  <c:v>No</c:v>
                </c:pt>
              </c:strCache>
            </c:strRef>
          </c:tx>
          <c:spPr>
            <a:ln w="28575" cap="rnd">
              <a:solidFill>
                <a:schemeClr val="accent1"/>
              </a:solidFill>
              <a:round/>
            </a:ln>
            <a:effectLst/>
          </c:spPr>
          <c:marker>
            <c:symbol val="none"/>
          </c:marker>
          <c:cat>
            <c:strRef>
              <c:f>'Pivot Table'!$A$12:$A$14</c:f>
              <c:strCache>
                <c:ptCount val="2"/>
                <c:pt idx="0">
                  <c:v>Old</c:v>
                </c:pt>
                <c:pt idx="1">
                  <c:v>Young</c:v>
                </c:pt>
              </c:strCache>
            </c:strRef>
          </c:cat>
          <c:val>
            <c:numRef>
              <c:f>'Pivot Table'!$B$12:$B$14</c:f>
              <c:numCache>
                <c:formatCode>General</c:formatCode>
                <c:ptCount val="2"/>
                <c:pt idx="0">
                  <c:v>178</c:v>
                </c:pt>
                <c:pt idx="1">
                  <c:v>341</c:v>
                </c:pt>
              </c:numCache>
            </c:numRef>
          </c:val>
          <c:smooth val="0"/>
          <c:extLst>
            <c:ext xmlns:c16="http://schemas.microsoft.com/office/drawing/2014/chart" uri="{C3380CC4-5D6E-409C-BE32-E72D297353CC}">
              <c16:uniqueId val="{00000000-918E-4413-A003-6B0D0DEBE7C8}"/>
            </c:ext>
          </c:extLst>
        </c:ser>
        <c:ser>
          <c:idx val="1"/>
          <c:order val="1"/>
          <c:tx>
            <c:strRef>
              <c:f>'Pivot Table'!$C$10:$C$11</c:f>
              <c:strCache>
                <c:ptCount val="1"/>
                <c:pt idx="0">
                  <c:v>Yes</c:v>
                </c:pt>
              </c:strCache>
            </c:strRef>
          </c:tx>
          <c:spPr>
            <a:ln w="28575" cap="rnd">
              <a:solidFill>
                <a:schemeClr val="accent2"/>
              </a:solidFill>
              <a:round/>
            </a:ln>
            <a:effectLst/>
          </c:spPr>
          <c:marker>
            <c:symbol val="none"/>
          </c:marker>
          <c:cat>
            <c:strRef>
              <c:f>'Pivot Table'!$A$12:$A$14</c:f>
              <c:strCache>
                <c:ptCount val="2"/>
                <c:pt idx="0">
                  <c:v>Old</c:v>
                </c:pt>
                <c:pt idx="1">
                  <c:v>Young</c:v>
                </c:pt>
              </c:strCache>
            </c:strRef>
          </c:cat>
          <c:val>
            <c:numRef>
              <c:f>'Pivot Table'!$C$12:$C$14</c:f>
              <c:numCache>
                <c:formatCode>General</c:formatCode>
                <c:ptCount val="2"/>
                <c:pt idx="0">
                  <c:v>122</c:v>
                </c:pt>
                <c:pt idx="1">
                  <c:v>359</c:v>
                </c:pt>
              </c:numCache>
            </c:numRef>
          </c:val>
          <c:smooth val="0"/>
          <c:extLst>
            <c:ext xmlns:c16="http://schemas.microsoft.com/office/drawing/2014/chart" uri="{C3380CC4-5D6E-409C-BE32-E72D297353CC}">
              <c16:uniqueId val="{00000001-918E-4413-A003-6B0D0DEBE7C8}"/>
            </c:ext>
          </c:extLst>
        </c:ser>
        <c:dLbls>
          <c:showLegendKey val="0"/>
          <c:showVal val="0"/>
          <c:showCatName val="0"/>
          <c:showSerName val="0"/>
          <c:showPercent val="0"/>
          <c:showBubbleSize val="0"/>
        </c:dLbls>
        <c:smooth val="0"/>
        <c:axId val="1610046847"/>
        <c:axId val="1610030527"/>
      </c:lineChart>
      <c:catAx>
        <c:axId val="1610046847"/>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IN"/>
                  <a:t>Age Brackets</a:t>
                </a:r>
              </a:p>
            </c:rich>
          </c:tx>
          <c:layout>
            <c:manualLayout>
              <c:xMode val="edge"/>
              <c:yMode val="edge"/>
              <c:x val="0.42927646544181974"/>
              <c:y val="0.92034703995333922"/>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30527"/>
        <c:crosses val="autoZero"/>
        <c:auto val="1"/>
        <c:lblAlgn val="ctr"/>
        <c:lblOffset val="100"/>
        <c:noMultiLvlLbl val="0"/>
      </c:catAx>
      <c:valAx>
        <c:axId val="161003052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10046847"/>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chart" Target="../charts/chart6.xml"/><Relationship Id="rId2" Type="http://schemas.openxmlformats.org/officeDocument/2006/relationships/chart" Target="../charts/chart5.xml"/><Relationship Id="rId1"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6</xdr:col>
      <xdr:colOff>68580</xdr:colOff>
      <xdr:row>0</xdr:row>
      <xdr:rowOff>171450</xdr:rowOff>
    </xdr:from>
    <xdr:to>
      <xdr:col>12</xdr:col>
      <xdr:colOff>35581</xdr:colOff>
      <xdr:row>12</xdr:row>
      <xdr:rowOff>175260</xdr:rowOff>
    </xdr:to>
    <xdr:graphicFrame macro="">
      <xdr:nvGraphicFramePr>
        <xdr:cNvPr id="2" name="Chart 1">
          <a:extLst>
            <a:ext uri="{FF2B5EF4-FFF2-40B4-BE49-F238E27FC236}">
              <a16:creationId xmlns:a16="http://schemas.microsoft.com/office/drawing/2014/main" id="{C0F2D86C-6FFE-9516-91F0-2346F158653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15</xdr:row>
      <xdr:rowOff>160782</xdr:rowOff>
    </xdr:from>
    <xdr:to>
      <xdr:col>12</xdr:col>
      <xdr:colOff>30480</xdr:colOff>
      <xdr:row>28</xdr:row>
      <xdr:rowOff>69342</xdr:rowOff>
    </xdr:to>
    <xdr:graphicFrame macro="">
      <xdr:nvGraphicFramePr>
        <xdr:cNvPr id="3" name="Chart 2">
          <a:extLst>
            <a:ext uri="{FF2B5EF4-FFF2-40B4-BE49-F238E27FC236}">
              <a16:creationId xmlns:a16="http://schemas.microsoft.com/office/drawing/2014/main" id="{9E56A2F0-3192-5994-4643-4D6AEF6EB71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121920</xdr:colOff>
      <xdr:row>31</xdr:row>
      <xdr:rowOff>87630</xdr:rowOff>
    </xdr:from>
    <xdr:to>
      <xdr:col>13</xdr:col>
      <xdr:colOff>228600</xdr:colOff>
      <xdr:row>46</xdr:row>
      <xdr:rowOff>87630</xdr:rowOff>
    </xdr:to>
    <xdr:graphicFrame macro="">
      <xdr:nvGraphicFramePr>
        <xdr:cNvPr id="4" name="Chart 3">
          <a:extLst>
            <a:ext uri="{FF2B5EF4-FFF2-40B4-BE49-F238E27FC236}">
              <a16:creationId xmlns:a16="http://schemas.microsoft.com/office/drawing/2014/main" id="{97859904-FA71-A480-1613-1E8DE96C1E9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205741</xdr:colOff>
      <xdr:row>6</xdr:row>
      <xdr:rowOff>7620</xdr:rowOff>
    </xdr:from>
    <xdr:to>
      <xdr:col>8</xdr:col>
      <xdr:colOff>294641</xdr:colOff>
      <xdr:row>17</xdr:row>
      <xdr:rowOff>162560</xdr:rowOff>
    </xdr:to>
    <xdr:graphicFrame macro="">
      <xdr:nvGraphicFramePr>
        <xdr:cNvPr id="2" name="Chart 1">
          <a:extLst>
            <a:ext uri="{FF2B5EF4-FFF2-40B4-BE49-F238E27FC236}">
              <a16:creationId xmlns:a16="http://schemas.microsoft.com/office/drawing/2014/main" id="{FA1B0885-5574-475E-B096-7040412073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172720</xdr:colOff>
      <xdr:row>18</xdr:row>
      <xdr:rowOff>17780</xdr:rowOff>
    </xdr:from>
    <xdr:to>
      <xdr:col>14</xdr:col>
      <xdr:colOff>599440</xdr:colOff>
      <xdr:row>27</xdr:row>
      <xdr:rowOff>81280</xdr:rowOff>
    </xdr:to>
    <xdr:graphicFrame macro="">
      <xdr:nvGraphicFramePr>
        <xdr:cNvPr id="3" name="Chart 2">
          <a:extLst>
            <a:ext uri="{FF2B5EF4-FFF2-40B4-BE49-F238E27FC236}">
              <a16:creationId xmlns:a16="http://schemas.microsoft.com/office/drawing/2014/main" id="{BCB54390-A917-4C9F-A220-A40C1011BD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459740</xdr:colOff>
      <xdr:row>6</xdr:row>
      <xdr:rowOff>7620</xdr:rowOff>
    </xdr:from>
    <xdr:to>
      <xdr:col>15</xdr:col>
      <xdr:colOff>10160</xdr:colOff>
      <xdr:row>17</xdr:row>
      <xdr:rowOff>152400</xdr:rowOff>
    </xdr:to>
    <xdr:graphicFrame macro="">
      <xdr:nvGraphicFramePr>
        <xdr:cNvPr id="4" name="Chart 3">
          <a:extLst>
            <a:ext uri="{FF2B5EF4-FFF2-40B4-BE49-F238E27FC236}">
              <a16:creationId xmlns:a16="http://schemas.microsoft.com/office/drawing/2014/main" id="{882012BF-E45D-4C4B-AE68-7852F3F2371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6</xdr:row>
      <xdr:rowOff>33021</xdr:rowOff>
    </xdr:from>
    <xdr:to>
      <xdr:col>2</xdr:col>
      <xdr:colOff>203200</xdr:colOff>
      <xdr:row>11</xdr:row>
      <xdr:rowOff>60961</xdr:rowOff>
    </xdr:to>
    <mc:AlternateContent xmlns:mc="http://schemas.openxmlformats.org/markup-compatibility/2006">
      <mc:Choice xmlns:a14="http://schemas.microsoft.com/office/drawing/2010/main" Requires="a14">
        <xdr:graphicFrame macro="">
          <xdr:nvGraphicFramePr>
            <xdr:cNvPr id="5" name="Marital Status">
              <a:extLst>
                <a:ext uri="{FF2B5EF4-FFF2-40B4-BE49-F238E27FC236}">
                  <a16:creationId xmlns:a16="http://schemas.microsoft.com/office/drawing/2014/main" id="{63D7190D-92E3-CA04-6ABA-40370AEFFF88}"/>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dr:sp macro="" textlink="">
          <xdr:nvSpPr>
            <xdr:cNvPr id="0" name=""/>
            <xdr:cNvSpPr>
              <a:spLocks noTextEdit="1"/>
            </xdr:cNvSpPr>
          </xdr:nvSpPr>
          <xdr:spPr>
            <a:xfrm>
              <a:off x="0" y="1130301"/>
              <a:ext cx="1422400" cy="94234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18</xdr:row>
      <xdr:rowOff>20319</xdr:rowOff>
    </xdr:from>
    <xdr:to>
      <xdr:col>2</xdr:col>
      <xdr:colOff>213360</xdr:colOff>
      <xdr:row>27</xdr:row>
      <xdr:rowOff>81280</xdr:rowOff>
    </xdr:to>
    <mc:AlternateContent xmlns:mc="http://schemas.openxmlformats.org/markup-compatibility/2006">
      <mc:Choice xmlns:a14="http://schemas.microsoft.com/office/drawing/2010/main" Requires="a14">
        <xdr:graphicFrame macro="">
          <xdr:nvGraphicFramePr>
            <xdr:cNvPr id="6" name="Education">
              <a:extLst>
                <a:ext uri="{FF2B5EF4-FFF2-40B4-BE49-F238E27FC236}">
                  <a16:creationId xmlns:a16="http://schemas.microsoft.com/office/drawing/2014/main" id="{AC6B7698-28F1-245E-B6D4-0FDA2DBFB7C5}"/>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dr:sp macro="" textlink="">
          <xdr:nvSpPr>
            <xdr:cNvPr id="0" name=""/>
            <xdr:cNvSpPr>
              <a:spLocks noTextEdit="1"/>
            </xdr:cNvSpPr>
          </xdr:nvSpPr>
          <xdr:spPr>
            <a:xfrm>
              <a:off x="0" y="3312159"/>
              <a:ext cx="1432560" cy="1706881"/>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11</xdr:row>
      <xdr:rowOff>83821</xdr:rowOff>
    </xdr:from>
    <xdr:to>
      <xdr:col>2</xdr:col>
      <xdr:colOff>203200</xdr:colOff>
      <xdr:row>17</xdr:row>
      <xdr:rowOff>152401</xdr:rowOff>
    </xdr:to>
    <mc:AlternateContent xmlns:mc="http://schemas.openxmlformats.org/markup-compatibility/2006">
      <mc:Choice xmlns:a14="http://schemas.microsoft.com/office/drawing/2010/main" Requires="a14">
        <xdr:graphicFrame macro="">
          <xdr:nvGraphicFramePr>
            <xdr:cNvPr id="7" name="Region">
              <a:extLst>
                <a:ext uri="{FF2B5EF4-FFF2-40B4-BE49-F238E27FC236}">
                  <a16:creationId xmlns:a16="http://schemas.microsoft.com/office/drawing/2014/main" id="{0E967FE0-51EF-CEDA-AFA2-B2E1020FBB96}"/>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dr:sp macro="" textlink="">
          <xdr:nvSpPr>
            <xdr:cNvPr id="0" name=""/>
            <xdr:cNvSpPr>
              <a:spLocks noTextEdit="1"/>
            </xdr:cNvSpPr>
          </xdr:nvSpPr>
          <xdr:spPr>
            <a:xfrm>
              <a:off x="0" y="2095501"/>
              <a:ext cx="1422400" cy="116586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ETVI" refreshedDate="46119.453608217591" createdVersion="8" refreshedVersion="8" minRefreshableVersion="3" recordCount="1000" xr:uid="{FF560A98-3D99-48F2-994D-73043B7F5EB2}">
  <cacheSource type="worksheet">
    <worksheetSource ref="A1:N1001" sheet="working_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
      <sharedItems containsSemiMixedTypes="0" containsString="0" containsNumber="1" containsInteger="1" minValue="10000" maxValue="170000"/>
    </cacheField>
    <cacheField name="Children" numFmtId="0">
      <sharedItems containsSemiMixedTypes="0" containsString="0" containsNumber="1" containsInteger="1" minValue="0" maxValue="5"/>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acheField>
    <cacheField name="Commute Distance" numFmtId="0">
      <sharedItems count="6">
        <s v="0-1 Miles"/>
        <s v="2-5 Miles"/>
        <s v="5-10 Miles"/>
        <s v="1-2 Miles"/>
        <s v="More than 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Bracket" numFmtId="0">
      <sharedItems count="2">
        <s v="Young"/>
        <s v="Old"/>
      </sharedItems>
    </cacheField>
    <cacheField name="Purchased Bike" numFmtId="0">
      <sharedItems count="2">
        <s v="No"/>
        <s v="Yes"/>
      </sharedItems>
    </cacheField>
  </cacheFields>
  <extLst>
    <ext xmlns:x14="http://schemas.microsoft.com/office/spreadsheetml/2009/9/main" uri="{725AE2AE-9491-48be-B2B4-4EB974FC3084}">
      <x14:pivotCacheDefinition pivotCacheId="44473797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n v="1"/>
    <x v="0"/>
    <s v="Skilled Manual"/>
    <s v="Yes"/>
    <n v="0"/>
    <x v="0"/>
    <x v="0"/>
    <x v="0"/>
    <x v="0"/>
    <x v="0"/>
  </r>
  <r>
    <n v="24107"/>
    <x v="0"/>
    <x v="1"/>
    <n v="30000"/>
    <n v="3"/>
    <x v="1"/>
    <s v="Clerical"/>
    <s v="Yes"/>
    <n v="1"/>
    <x v="0"/>
    <x v="0"/>
    <x v="1"/>
    <x v="0"/>
    <x v="0"/>
  </r>
  <r>
    <n v="14177"/>
    <x v="0"/>
    <x v="1"/>
    <n v="80000"/>
    <n v="5"/>
    <x v="1"/>
    <s v="Professional"/>
    <s v="No"/>
    <n v="2"/>
    <x v="1"/>
    <x v="0"/>
    <x v="2"/>
    <x v="1"/>
    <x v="0"/>
  </r>
  <r>
    <n v="24381"/>
    <x v="1"/>
    <x v="1"/>
    <n v="70000"/>
    <n v="0"/>
    <x v="0"/>
    <s v="Professional"/>
    <s v="Yes"/>
    <n v="1"/>
    <x v="2"/>
    <x v="1"/>
    <x v="3"/>
    <x v="0"/>
    <x v="1"/>
  </r>
  <r>
    <n v="25597"/>
    <x v="1"/>
    <x v="1"/>
    <n v="30000"/>
    <n v="0"/>
    <x v="0"/>
    <s v="Clerical"/>
    <s v="No"/>
    <n v="0"/>
    <x v="0"/>
    <x v="0"/>
    <x v="4"/>
    <x v="0"/>
    <x v="1"/>
  </r>
  <r>
    <n v="13507"/>
    <x v="0"/>
    <x v="0"/>
    <n v="10000"/>
    <n v="2"/>
    <x v="1"/>
    <s v="Manual"/>
    <s v="Yes"/>
    <n v="0"/>
    <x v="3"/>
    <x v="0"/>
    <x v="5"/>
    <x v="1"/>
    <x v="0"/>
  </r>
  <r>
    <n v="27974"/>
    <x v="1"/>
    <x v="1"/>
    <n v="160000"/>
    <n v="2"/>
    <x v="2"/>
    <s v="Management"/>
    <s v="Yes"/>
    <n v="4"/>
    <x v="0"/>
    <x v="1"/>
    <x v="6"/>
    <x v="0"/>
    <x v="1"/>
  </r>
  <r>
    <n v="19364"/>
    <x v="0"/>
    <x v="1"/>
    <n v="40000"/>
    <n v="1"/>
    <x v="0"/>
    <s v="Skilled Manual"/>
    <s v="Yes"/>
    <n v="0"/>
    <x v="0"/>
    <x v="0"/>
    <x v="1"/>
    <x v="0"/>
    <x v="1"/>
  </r>
  <r>
    <n v="22155"/>
    <x v="0"/>
    <x v="1"/>
    <n v="20000"/>
    <n v="2"/>
    <x v="3"/>
    <s v="Clerical"/>
    <s v="Yes"/>
    <n v="2"/>
    <x v="2"/>
    <x v="1"/>
    <x v="7"/>
    <x v="1"/>
    <x v="0"/>
  </r>
  <r>
    <n v="19280"/>
    <x v="0"/>
    <x v="1"/>
    <n v="120000"/>
    <n v="2"/>
    <x v="1"/>
    <s v="Manual"/>
    <s v="Yes"/>
    <n v="1"/>
    <x v="0"/>
    <x v="0"/>
    <x v="8"/>
    <x v="0"/>
    <x v="1"/>
  </r>
  <r>
    <n v="22173"/>
    <x v="0"/>
    <x v="0"/>
    <n v="30000"/>
    <n v="3"/>
    <x v="2"/>
    <s v="Skilled Manual"/>
    <s v="No"/>
    <n v="2"/>
    <x v="3"/>
    <x v="1"/>
    <x v="9"/>
    <x v="1"/>
    <x v="1"/>
  </r>
  <r>
    <n v="12697"/>
    <x v="1"/>
    <x v="0"/>
    <n v="90000"/>
    <n v="0"/>
    <x v="0"/>
    <s v="Professional"/>
    <s v="No"/>
    <n v="4"/>
    <x v="4"/>
    <x v="1"/>
    <x v="4"/>
    <x v="0"/>
    <x v="0"/>
  </r>
  <r>
    <n v="11434"/>
    <x v="0"/>
    <x v="1"/>
    <n v="170000"/>
    <n v="5"/>
    <x v="1"/>
    <s v="Professional"/>
    <s v="Yes"/>
    <n v="0"/>
    <x v="0"/>
    <x v="0"/>
    <x v="10"/>
    <x v="1"/>
    <x v="0"/>
  </r>
  <r>
    <n v="25323"/>
    <x v="0"/>
    <x v="1"/>
    <n v="40000"/>
    <n v="2"/>
    <x v="1"/>
    <s v="Clerical"/>
    <s v="Yes"/>
    <n v="1"/>
    <x v="3"/>
    <x v="0"/>
    <x v="11"/>
    <x v="0"/>
    <x v="1"/>
  </r>
  <r>
    <n v="23542"/>
    <x v="1"/>
    <x v="1"/>
    <n v="60000"/>
    <n v="1"/>
    <x v="1"/>
    <s v="Skilled Manual"/>
    <s v="No"/>
    <n v="1"/>
    <x v="0"/>
    <x v="1"/>
    <x v="12"/>
    <x v="0"/>
    <x v="1"/>
  </r>
  <r>
    <n v="20870"/>
    <x v="1"/>
    <x v="0"/>
    <n v="10000"/>
    <n v="2"/>
    <x v="2"/>
    <s v="Manual"/>
    <s v="Yes"/>
    <n v="1"/>
    <x v="0"/>
    <x v="0"/>
    <x v="13"/>
    <x v="0"/>
    <x v="1"/>
  </r>
  <r>
    <n v="23316"/>
    <x v="1"/>
    <x v="1"/>
    <n v="30000"/>
    <n v="3"/>
    <x v="1"/>
    <s v="Clerical"/>
    <s v="No"/>
    <n v="2"/>
    <x v="3"/>
    <x v="1"/>
    <x v="14"/>
    <x v="1"/>
    <x v="1"/>
  </r>
  <r>
    <n v="12610"/>
    <x v="0"/>
    <x v="0"/>
    <n v="30000"/>
    <n v="1"/>
    <x v="0"/>
    <s v="Clerical"/>
    <s v="Yes"/>
    <n v="0"/>
    <x v="0"/>
    <x v="0"/>
    <x v="15"/>
    <x v="0"/>
    <x v="0"/>
  </r>
  <r>
    <n v="27183"/>
    <x v="1"/>
    <x v="1"/>
    <n v="40000"/>
    <n v="2"/>
    <x v="1"/>
    <s v="Clerical"/>
    <s v="Yes"/>
    <n v="1"/>
    <x v="3"/>
    <x v="0"/>
    <x v="11"/>
    <x v="0"/>
    <x v="1"/>
  </r>
  <r>
    <n v="25940"/>
    <x v="1"/>
    <x v="1"/>
    <n v="20000"/>
    <n v="2"/>
    <x v="3"/>
    <s v="Clerical"/>
    <s v="Yes"/>
    <n v="2"/>
    <x v="2"/>
    <x v="1"/>
    <x v="10"/>
    <x v="1"/>
    <x v="1"/>
  </r>
  <r>
    <n v="25598"/>
    <x v="0"/>
    <x v="0"/>
    <n v="40000"/>
    <n v="0"/>
    <x v="4"/>
    <s v="Clerical"/>
    <s v="Yes"/>
    <n v="0"/>
    <x v="0"/>
    <x v="0"/>
    <x v="4"/>
    <x v="0"/>
    <x v="1"/>
  </r>
  <r>
    <n v="21564"/>
    <x v="1"/>
    <x v="0"/>
    <n v="80000"/>
    <n v="0"/>
    <x v="0"/>
    <s v="Professional"/>
    <s v="Yes"/>
    <n v="4"/>
    <x v="4"/>
    <x v="1"/>
    <x v="11"/>
    <x v="0"/>
    <x v="0"/>
  </r>
  <r>
    <n v="19193"/>
    <x v="1"/>
    <x v="1"/>
    <n v="40000"/>
    <n v="2"/>
    <x v="1"/>
    <s v="Clerical"/>
    <s v="Yes"/>
    <n v="0"/>
    <x v="3"/>
    <x v="0"/>
    <x v="11"/>
    <x v="0"/>
    <x v="1"/>
  </r>
  <r>
    <n v="26412"/>
    <x v="0"/>
    <x v="0"/>
    <n v="80000"/>
    <n v="5"/>
    <x v="2"/>
    <s v="Management"/>
    <s v="No"/>
    <n v="3"/>
    <x v="2"/>
    <x v="0"/>
    <x v="16"/>
    <x v="1"/>
    <x v="0"/>
  </r>
  <r>
    <n v="27184"/>
    <x v="1"/>
    <x v="1"/>
    <n v="40000"/>
    <n v="2"/>
    <x v="1"/>
    <s v="Clerical"/>
    <s v="No"/>
    <n v="1"/>
    <x v="0"/>
    <x v="0"/>
    <x v="17"/>
    <x v="0"/>
    <x v="0"/>
  </r>
  <r>
    <n v="12590"/>
    <x v="1"/>
    <x v="1"/>
    <n v="30000"/>
    <n v="1"/>
    <x v="0"/>
    <s v="Clerical"/>
    <s v="Yes"/>
    <n v="0"/>
    <x v="0"/>
    <x v="0"/>
    <x v="18"/>
    <x v="1"/>
    <x v="0"/>
  </r>
  <r>
    <n v="17841"/>
    <x v="1"/>
    <x v="1"/>
    <n v="30000"/>
    <n v="0"/>
    <x v="1"/>
    <s v="Clerical"/>
    <s v="No"/>
    <n v="1"/>
    <x v="0"/>
    <x v="0"/>
    <x v="19"/>
    <x v="0"/>
    <x v="1"/>
  </r>
  <r>
    <n v="18283"/>
    <x v="1"/>
    <x v="0"/>
    <n v="100000"/>
    <n v="0"/>
    <x v="0"/>
    <s v="Professional"/>
    <s v="No"/>
    <n v="1"/>
    <x v="2"/>
    <x v="1"/>
    <x v="8"/>
    <x v="0"/>
    <x v="0"/>
  </r>
  <r>
    <n v="18299"/>
    <x v="0"/>
    <x v="1"/>
    <n v="70000"/>
    <n v="5"/>
    <x v="1"/>
    <s v="Skilled Manual"/>
    <s v="Yes"/>
    <n v="2"/>
    <x v="2"/>
    <x v="1"/>
    <x v="20"/>
    <x v="0"/>
    <x v="0"/>
  </r>
  <r>
    <n v="16466"/>
    <x v="1"/>
    <x v="0"/>
    <n v="20000"/>
    <n v="0"/>
    <x v="3"/>
    <s v="Manual"/>
    <s v="No"/>
    <n v="2"/>
    <x v="0"/>
    <x v="0"/>
    <x v="21"/>
    <x v="0"/>
    <x v="1"/>
  </r>
  <r>
    <n v="19273"/>
    <x v="0"/>
    <x v="0"/>
    <n v="20000"/>
    <n v="2"/>
    <x v="1"/>
    <s v="Manual"/>
    <s v="Yes"/>
    <n v="0"/>
    <x v="0"/>
    <x v="0"/>
    <x v="18"/>
    <x v="1"/>
    <x v="0"/>
  </r>
  <r>
    <n v="22400"/>
    <x v="0"/>
    <x v="1"/>
    <n v="10000"/>
    <n v="0"/>
    <x v="1"/>
    <s v="Manual"/>
    <s v="No"/>
    <n v="1"/>
    <x v="0"/>
    <x v="1"/>
    <x v="22"/>
    <x v="0"/>
    <x v="1"/>
  </r>
  <r>
    <n v="20942"/>
    <x v="1"/>
    <x v="0"/>
    <n v="20000"/>
    <n v="0"/>
    <x v="2"/>
    <s v="Manual"/>
    <s v="No"/>
    <n v="1"/>
    <x v="2"/>
    <x v="0"/>
    <x v="23"/>
    <x v="0"/>
    <x v="0"/>
  </r>
  <r>
    <n v="18484"/>
    <x v="1"/>
    <x v="1"/>
    <n v="80000"/>
    <n v="2"/>
    <x v="2"/>
    <s v="Skilled Manual"/>
    <s v="No"/>
    <n v="2"/>
    <x v="3"/>
    <x v="1"/>
    <x v="5"/>
    <x v="1"/>
    <x v="1"/>
  </r>
  <r>
    <n v="12291"/>
    <x v="1"/>
    <x v="1"/>
    <n v="90000"/>
    <n v="5"/>
    <x v="1"/>
    <s v="Professional"/>
    <s v="No"/>
    <n v="2"/>
    <x v="1"/>
    <x v="0"/>
    <x v="24"/>
    <x v="1"/>
    <x v="1"/>
  </r>
  <r>
    <n v="28380"/>
    <x v="1"/>
    <x v="0"/>
    <n v="10000"/>
    <n v="5"/>
    <x v="3"/>
    <s v="Manual"/>
    <s v="No"/>
    <n v="2"/>
    <x v="0"/>
    <x v="0"/>
    <x v="3"/>
    <x v="0"/>
    <x v="0"/>
  </r>
  <r>
    <n v="17891"/>
    <x v="0"/>
    <x v="0"/>
    <n v="10000"/>
    <n v="2"/>
    <x v="1"/>
    <s v="Manual"/>
    <s v="Yes"/>
    <n v="1"/>
    <x v="0"/>
    <x v="0"/>
    <x v="5"/>
    <x v="1"/>
    <x v="1"/>
  </r>
  <r>
    <n v="27832"/>
    <x v="1"/>
    <x v="0"/>
    <n v="30000"/>
    <n v="0"/>
    <x v="1"/>
    <s v="Clerical"/>
    <s v="No"/>
    <n v="1"/>
    <x v="1"/>
    <x v="0"/>
    <x v="25"/>
    <x v="0"/>
    <x v="0"/>
  </r>
  <r>
    <n v="26863"/>
    <x v="1"/>
    <x v="1"/>
    <n v="20000"/>
    <n v="0"/>
    <x v="2"/>
    <s v="Manual"/>
    <s v="No"/>
    <n v="1"/>
    <x v="1"/>
    <x v="0"/>
    <x v="26"/>
    <x v="0"/>
    <x v="0"/>
  </r>
  <r>
    <n v="16259"/>
    <x v="1"/>
    <x v="0"/>
    <n v="10000"/>
    <n v="4"/>
    <x v="3"/>
    <s v="Manual"/>
    <s v="Yes"/>
    <n v="2"/>
    <x v="0"/>
    <x v="0"/>
    <x v="8"/>
    <x v="0"/>
    <x v="1"/>
  </r>
  <r>
    <n v="27803"/>
    <x v="1"/>
    <x v="0"/>
    <n v="30000"/>
    <n v="2"/>
    <x v="1"/>
    <s v="Clerical"/>
    <s v="No"/>
    <n v="0"/>
    <x v="0"/>
    <x v="0"/>
    <x v="1"/>
    <x v="0"/>
    <x v="0"/>
  </r>
  <r>
    <n v="14347"/>
    <x v="1"/>
    <x v="0"/>
    <n v="40000"/>
    <n v="2"/>
    <x v="0"/>
    <s v="Management"/>
    <s v="Yes"/>
    <n v="2"/>
    <x v="2"/>
    <x v="1"/>
    <x v="27"/>
    <x v="1"/>
    <x v="1"/>
  </r>
  <r>
    <n v="17703"/>
    <x v="0"/>
    <x v="0"/>
    <n v="10000"/>
    <n v="1"/>
    <x v="4"/>
    <s v="Manual"/>
    <s v="Yes"/>
    <n v="0"/>
    <x v="0"/>
    <x v="0"/>
    <x v="8"/>
    <x v="0"/>
    <x v="0"/>
  </r>
  <r>
    <n v="17185"/>
    <x v="0"/>
    <x v="0"/>
    <n v="170000"/>
    <n v="4"/>
    <x v="1"/>
    <s v="Professional"/>
    <s v="No"/>
    <n v="3"/>
    <x v="2"/>
    <x v="0"/>
    <x v="28"/>
    <x v="0"/>
    <x v="1"/>
  </r>
  <r>
    <n v="29380"/>
    <x v="0"/>
    <x v="0"/>
    <n v="20000"/>
    <n v="3"/>
    <x v="2"/>
    <s v="Manual"/>
    <s v="Yes"/>
    <n v="0"/>
    <x v="0"/>
    <x v="0"/>
    <x v="3"/>
    <x v="0"/>
    <x v="1"/>
  </r>
  <r>
    <n v="23986"/>
    <x v="0"/>
    <x v="0"/>
    <n v="20000"/>
    <n v="1"/>
    <x v="0"/>
    <s v="Clerical"/>
    <s v="Yes"/>
    <n v="0"/>
    <x v="0"/>
    <x v="0"/>
    <x v="29"/>
    <x v="1"/>
    <x v="1"/>
  </r>
  <r>
    <n v="24466"/>
    <x v="0"/>
    <x v="0"/>
    <n v="60000"/>
    <n v="1"/>
    <x v="1"/>
    <s v="Skilled Manual"/>
    <s v="Yes"/>
    <n v="1"/>
    <x v="2"/>
    <x v="1"/>
    <x v="30"/>
    <x v="0"/>
    <x v="1"/>
  </r>
  <r>
    <n v="29097"/>
    <x v="1"/>
    <x v="0"/>
    <n v="40000"/>
    <n v="2"/>
    <x v="1"/>
    <s v="Skilled Manual"/>
    <s v="Yes"/>
    <n v="2"/>
    <x v="2"/>
    <x v="1"/>
    <x v="31"/>
    <x v="1"/>
    <x v="1"/>
  </r>
  <r>
    <n v="19487"/>
    <x v="0"/>
    <x v="1"/>
    <n v="30000"/>
    <n v="2"/>
    <x v="1"/>
    <s v="Clerical"/>
    <s v="No"/>
    <n v="2"/>
    <x v="0"/>
    <x v="0"/>
    <x v="0"/>
    <x v="0"/>
    <x v="0"/>
  </r>
  <r>
    <n v="14939"/>
    <x v="1"/>
    <x v="1"/>
    <n v="40000"/>
    <n v="0"/>
    <x v="0"/>
    <s v="Clerical"/>
    <s v="Yes"/>
    <n v="0"/>
    <x v="0"/>
    <x v="0"/>
    <x v="32"/>
    <x v="0"/>
    <x v="1"/>
  </r>
  <r>
    <n v="13826"/>
    <x v="1"/>
    <x v="0"/>
    <n v="30000"/>
    <n v="0"/>
    <x v="1"/>
    <s v="Clerical"/>
    <s v="No"/>
    <n v="1"/>
    <x v="0"/>
    <x v="0"/>
    <x v="26"/>
    <x v="0"/>
    <x v="0"/>
  </r>
  <r>
    <n v="20619"/>
    <x v="1"/>
    <x v="1"/>
    <n v="80000"/>
    <n v="0"/>
    <x v="0"/>
    <s v="Professional"/>
    <s v="No"/>
    <n v="4"/>
    <x v="4"/>
    <x v="1"/>
    <x v="11"/>
    <x v="0"/>
    <x v="0"/>
  </r>
  <r>
    <n v="12558"/>
    <x v="0"/>
    <x v="0"/>
    <n v="20000"/>
    <n v="1"/>
    <x v="0"/>
    <s v="Clerical"/>
    <s v="Yes"/>
    <n v="0"/>
    <x v="0"/>
    <x v="0"/>
    <x v="27"/>
    <x v="1"/>
    <x v="0"/>
  </r>
  <r>
    <n v="24871"/>
    <x v="1"/>
    <x v="0"/>
    <n v="90000"/>
    <n v="4"/>
    <x v="2"/>
    <s v="Management"/>
    <s v="No"/>
    <n v="3"/>
    <x v="2"/>
    <x v="0"/>
    <x v="16"/>
    <x v="1"/>
    <x v="0"/>
  </r>
  <r>
    <n v="17319"/>
    <x v="1"/>
    <x v="0"/>
    <n v="70000"/>
    <n v="0"/>
    <x v="0"/>
    <s v="Professional"/>
    <s v="No"/>
    <n v="1"/>
    <x v="2"/>
    <x v="1"/>
    <x v="0"/>
    <x v="0"/>
    <x v="0"/>
  </r>
  <r>
    <n v="28906"/>
    <x v="0"/>
    <x v="1"/>
    <n v="80000"/>
    <n v="4"/>
    <x v="2"/>
    <s v="Professional"/>
    <s v="Yes"/>
    <n v="2"/>
    <x v="4"/>
    <x v="0"/>
    <x v="9"/>
    <x v="1"/>
    <x v="0"/>
  </r>
  <r>
    <n v="12808"/>
    <x v="0"/>
    <x v="1"/>
    <n v="40000"/>
    <n v="0"/>
    <x v="0"/>
    <s v="Clerical"/>
    <s v="Yes"/>
    <n v="0"/>
    <x v="0"/>
    <x v="0"/>
    <x v="13"/>
    <x v="0"/>
    <x v="1"/>
  </r>
  <r>
    <n v="20567"/>
    <x v="0"/>
    <x v="1"/>
    <n v="130000"/>
    <n v="4"/>
    <x v="1"/>
    <s v="Professional"/>
    <s v="No"/>
    <n v="4"/>
    <x v="2"/>
    <x v="0"/>
    <x v="33"/>
    <x v="1"/>
    <x v="1"/>
  </r>
  <r>
    <n v="25502"/>
    <x v="0"/>
    <x v="0"/>
    <n v="40000"/>
    <n v="1"/>
    <x v="0"/>
    <s v="Skilled Manual"/>
    <s v="Yes"/>
    <n v="0"/>
    <x v="0"/>
    <x v="0"/>
    <x v="1"/>
    <x v="0"/>
    <x v="1"/>
  </r>
  <r>
    <n v="15580"/>
    <x v="0"/>
    <x v="1"/>
    <n v="60000"/>
    <n v="2"/>
    <x v="0"/>
    <s v="Professional"/>
    <s v="Yes"/>
    <n v="1"/>
    <x v="1"/>
    <x v="1"/>
    <x v="13"/>
    <x v="0"/>
    <x v="1"/>
  </r>
  <r>
    <n v="24185"/>
    <x v="1"/>
    <x v="0"/>
    <n v="10000"/>
    <n v="1"/>
    <x v="2"/>
    <s v="Manual"/>
    <s v="No"/>
    <n v="1"/>
    <x v="3"/>
    <x v="0"/>
    <x v="12"/>
    <x v="0"/>
    <x v="0"/>
  </r>
  <r>
    <n v="19291"/>
    <x v="1"/>
    <x v="0"/>
    <n v="10000"/>
    <n v="2"/>
    <x v="2"/>
    <s v="Manual"/>
    <s v="Yes"/>
    <n v="0"/>
    <x v="0"/>
    <x v="0"/>
    <x v="11"/>
    <x v="0"/>
    <x v="0"/>
  </r>
  <r>
    <n v="16713"/>
    <x v="0"/>
    <x v="1"/>
    <n v="40000"/>
    <n v="2"/>
    <x v="0"/>
    <s v="Management"/>
    <s v="Yes"/>
    <n v="1"/>
    <x v="0"/>
    <x v="1"/>
    <x v="31"/>
    <x v="1"/>
    <x v="1"/>
  </r>
  <r>
    <n v="16185"/>
    <x v="1"/>
    <x v="1"/>
    <n v="60000"/>
    <n v="4"/>
    <x v="0"/>
    <s v="Professional"/>
    <s v="Yes"/>
    <n v="3"/>
    <x v="4"/>
    <x v="1"/>
    <x v="3"/>
    <x v="0"/>
    <x v="0"/>
  </r>
  <r>
    <n v="14927"/>
    <x v="0"/>
    <x v="0"/>
    <n v="30000"/>
    <n v="1"/>
    <x v="0"/>
    <s v="Clerical"/>
    <s v="Yes"/>
    <n v="0"/>
    <x v="0"/>
    <x v="0"/>
    <x v="34"/>
    <x v="0"/>
    <x v="1"/>
  </r>
  <r>
    <n v="29337"/>
    <x v="1"/>
    <x v="1"/>
    <n v="30000"/>
    <n v="2"/>
    <x v="1"/>
    <s v="Clerical"/>
    <s v="Yes"/>
    <n v="2"/>
    <x v="2"/>
    <x v="1"/>
    <x v="35"/>
    <x v="1"/>
    <x v="0"/>
  </r>
  <r>
    <n v="29355"/>
    <x v="0"/>
    <x v="0"/>
    <n v="40000"/>
    <n v="0"/>
    <x v="4"/>
    <s v="Clerical"/>
    <s v="Yes"/>
    <n v="0"/>
    <x v="0"/>
    <x v="0"/>
    <x v="34"/>
    <x v="0"/>
    <x v="1"/>
  </r>
  <r>
    <n v="25303"/>
    <x v="1"/>
    <x v="1"/>
    <n v="30000"/>
    <n v="0"/>
    <x v="2"/>
    <s v="Manual"/>
    <s v="Yes"/>
    <n v="1"/>
    <x v="1"/>
    <x v="0"/>
    <x v="6"/>
    <x v="0"/>
    <x v="1"/>
  </r>
  <r>
    <n v="14813"/>
    <x v="1"/>
    <x v="0"/>
    <n v="20000"/>
    <n v="4"/>
    <x v="2"/>
    <s v="Manual"/>
    <s v="Yes"/>
    <n v="1"/>
    <x v="0"/>
    <x v="0"/>
    <x v="1"/>
    <x v="0"/>
    <x v="1"/>
  </r>
  <r>
    <n v="16438"/>
    <x v="0"/>
    <x v="0"/>
    <n v="10000"/>
    <n v="0"/>
    <x v="3"/>
    <s v="Manual"/>
    <s v="No"/>
    <n v="2"/>
    <x v="0"/>
    <x v="0"/>
    <x v="25"/>
    <x v="0"/>
    <x v="0"/>
  </r>
  <r>
    <n v="14238"/>
    <x v="0"/>
    <x v="1"/>
    <n v="120000"/>
    <n v="0"/>
    <x v="3"/>
    <s v="Professional"/>
    <s v="Yes"/>
    <n v="4"/>
    <x v="4"/>
    <x v="1"/>
    <x v="4"/>
    <x v="0"/>
    <x v="1"/>
  </r>
  <r>
    <n v="16200"/>
    <x v="1"/>
    <x v="0"/>
    <n v="10000"/>
    <n v="0"/>
    <x v="3"/>
    <s v="Manual"/>
    <s v="No"/>
    <n v="2"/>
    <x v="0"/>
    <x v="0"/>
    <x v="11"/>
    <x v="0"/>
    <x v="0"/>
  </r>
  <r>
    <n v="24857"/>
    <x v="0"/>
    <x v="0"/>
    <n v="130000"/>
    <n v="3"/>
    <x v="2"/>
    <s v="Professional"/>
    <s v="Yes"/>
    <n v="4"/>
    <x v="0"/>
    <x v="0"/>
    <x v="31"/>
    <x v="1"/>
    <x v="0"/>
  </r>
  <r>
    <n v="26956"/>
    <x v="1"/>
    <x v="0"/>
    <n v="20000"/>
    <n v="0"/>
    <x v="1"/>
    <s v="Manual"/>
    <s v="No"/>
    <n v="1"/>
    <x v="1"/>
    <x v="0"/>
    <x v="4"/>
    <x v="0"/>
    <x v="1"/>
  </r>
  <r>
    <n v="14517"/>
    <x v="0"/>
    <x v="0"/>
    <n v="20000"/>
    <n v="3"/>
    <x v="2"/>
    <s v="Skilled Manual"/>
    <s v="No"/>
    <n v="2"/>
    <x v="3"/>
    <x v="1"/>
    <x v="24"/>
    <x v="1"/>
    <x v="0"/>
  </r>
  <r>
    <n v="12678"/>
    <x v="1"/>
    <x v="0"/>
    <n v="130000"/>
    <n v="4"/>
    <x v="2"/>
    <s v="Management"/>
    <s v="Yes"/>
    <n v="4"/>
    <x v="0"/>
    <x v="1"/>
    <x v="23"/>
    <x v="0"/>
    <x v="0"/>
  </r>
  <r>
    <n v="16188"/>
    <x v="1"/>
    <x v="0"/>
    <n v="20000"/>
    <n v="0"/>
    <x v="3"/>
    <s v="Manual"/>
    <s v="No"/>
    <n v="2"/>
    <x v="3"/>
    <x v="0"/>
    <x v="22"/>
    <x v="0"/>
    <x v="0"/>
  </r>
  <r>
    <n v="27969"/>
    <x v="0"/>
    <x v="1"/>
    <n v="80000"/>
    <n v="0"/>
    <x v="0"/>
    <s v="Professional"/>
    <s v="Yes"/>
    <n v="2"/>
    <x v="4"/>
    <x v="1"/>
    <x v="19"/>
    <x v="0"/>
    <x v="1"/>
  </r>
  <r>
    <n v="15752"/>
    <x v="0"/>
    <x v="1"/>
    <n v="80000"/>
    <n v="2"/>
    <x v="2"/>
    <s v="Skilled Manual"/>
    <s v="No"/>
    <n v="2"/>
    <x v="3"/>
    <x v="1"/>
    <x v="5"/>
    <x v="1"/>
    <x v="1"/>
  </r>
  <r>
    <n v="27745"/>
    <x v="1"/>
    <x v="1"/>
    <n v="40000"/>
    <n v="2"/>
    <x v="0"/>
    <s v="Management"/>
    <s v="Yes"/>
    <n v="2"/>
    <x v="2"/>
    <x v="1"/>
    <x v="18"/>
    <x v="1"/>
    <x v="1"/>
  </r>
  <r>
    <n v="20828"/>
    <x v="0"/>
    <x v="0"/>
    <n v="30000"/>
    <n v="4"/>
    <x v="4"/>
    <s v="Clerical"/>
    <s v="Yes"/>
    <n v="0"/>
    <x v="0"/>
    <x v="0"/>
    <x v="12"/>
    <x v="0"/>
    <x v="1"/>
  </r>
  <r>
    <n v="19461"/>
    <x v="1"/>
    <x v="0"/>
    <n v="10000"/>
    <n v="4"/>
    <x v="3"/>
    <s v="Manual"/>
    <s v="Yes"/>
    <n v="2"/>
    <x v="0"/>
    <x v="0"/>
    <x v="8"/>
    <x v="0"/>
    <x v="0"/>
  </r>
  <r>
    <n v="26941"/>
    <x v="0"/>
    <x v="1"/>
    <n v="30000"/>
    <n v="0"/>
    <x v="0"/>
    <s v="Clerical"/>
    <s v="Yes"/>
    <n v="0"/>
    <x v="0"/>
    <x v="0"/>
    <x v="15"/>
    <x v="0"/>
    <x v="1"/>
  </r>
  <r>
    <n v="28412"/>
    <x v="1"/>
    <x v="1"/>
    <n v="20000"/>
    <n v="0"/>
    <x v="2"/>
    <s v="Manual"/>
    <s v="No"/>
    <n v="1"/>
    <x v="1"/>
    <x v="0"/>
    <x v="19"/>
    <x v="0"/>
    <x v="0"/>
  </r>
  <r>
    <n v="24485"/>
    <x v="1"/>
    <x v="1"/>
    <n v="40000"/>
    <n v="2"/>
    <x v="0"/>
    <s v="Management"/>
    <s v="No"/>
    <n v="1"/>
    <x v="2"/>
    <x v="1"/>
    <x v="31"/>
    <x v="1"/>
    <x v="1"/>
  </r>
  <r>
    <n v="16514"/>
    <x v="1"/>
    <x v="1"/>
    <n v="10000"/>
    <n v="0"/>
    <x v="1"/>
    <s v="Manual"/>
    <s v="Yes"/>
    <n v="1"/>
    <x v="3"/>
    <x v="1"/>
    <x v="22"/>
    <x v="0"/>
    <x v="1"/>
  </r>
  <r>
    <n v="17191"/>
    <x v="1"/>
    <x v="1"/>
    <n v="130000"/>
    <n v="3"/>
    <x v="1"/>
    <s v="Professional"/>
    <s v="No"/>
    <n v="3"/>
    <x v="0"/>
    <x v="0"/>
    <x v="36"/>
    <x v="1"/>
    <x v="1"/>
  </r>
  <r>
    <n v="19608"/>
    <x v="0"/>
    <x v="1"/>
    <n v="80000"/>
    <n v="5"/>
    <x v="0"/>
    <s v="Professional"/>
    <s v="Yes"/>
    <n v="4"/>
    <x v="3"/>
    <x v="1"/>
    <x v="8"/>
    <x v="0"/>
    <x v="0"/>
  </r>
  <r>
    <n v="24119"/>
    <x v="1"/>
    <x v="1"/>
    <n v="30000"/>
    <n v="0"/>
    <x v="1"/>
    <s v="Clerical"/>
    <s v="No"/>
    <n v="1"/>
    <x v="1"/>
    <x v="0"/>
    <x v="19"/>
    <x v="0"/>
    <x v="0"/>
  </r>
  <r>
    <n v="25458"/>
    <x v="0"/>
    <x v="1"/>
    <n v="20000"/>
    <n v="1"/>
    <x v="2"/>
    <s v="Manual"/>
    <s v="No"/>
    <n v="1"/>
    <x v="3"/>
    <x v="0"/>
    <x v="8"/>
    <x v="0"/>
    <x v="1"/>
  </r>
  <r>
    <n v="26886"/>
    <x v="1"/>
    <x v="0"/>
    <n v="30000"/>
    <n v="0"/>
    <x v="1"/>
    <s v="Clerical"/>
    <s v="No"/>
    <n v="1"/>
    <x v="0"/>
    <x v="0"/>
    <x v="19"/>
    <x v="0"/>
    <x v="1"/>
  </r>
  <r>
    <n v="28436"/>
    <x v="1"/>
    <x v="1"/>
    <n v="30000"/>
    <n v="0"/>
    <x v="1"/>
    <s v="Clerical"/>
    <s v="No"/>
    <n v="1"/>
    <x v="0"/>
    <x v="0"/>
    <x v="25"/>
    <x v="0"/>
    <x v="1"/>
  </r>
  <r>
    <n v="19562"/>
    <x v="1"/>
    <x v="0"/>
    <n v="60000"/>
    <n v="2"/>
    <x v="0"/>
    <s v="Professional"/>
    <s v="Yes"/>
    <n v="1"/>
    <x v="1"/>
    <x v="1"/>
    <x v="34"/>
    <x v="0"/>
    <x v="1"/>
  </r>
  <r>
    <n v="15608"/>
    <x v="1"/>
    <x v="0"/>
    <n v="30000"/>
    <n v="0"/>
    <x v="1"/>
    <s v="Clerical"/>
    <s v="No"/>
    <n v="1"/>
    <x v="1"/>
    <x v="0"/>
    <x v="6"/>
    <x v="0"/>
    <x v="0"/>
  </r>
  <r>
    <n v="16487"/>
    <x v="1"/>
    <x v="0"/>
    <n v="30000"/>
    <n v="3"/>
    <x v="2"/>
    <s v="Skilled Manual"/>
    <s v="Yes"/>
    <n v="2"/>
    <x v="2"/>
    <x v="1"/>
    <x v="10"/>
    <x v="1"/>
    <x v="0"/>
  </r>
  <r>
    <n v="17197"/>
    <x v="1"/>
    <x v="0"/>
    <n v="90000"/>
    <n v="5"/>
    <x v="1"/>
    <s v="Professional"/>
    <s v="Yes"/>
    <n v="2"/>
    <x v="4"/>
    <x v="0"/>
    <x v="24"/>
    <x v="1"/>
    <x v="0"/>
  </r>
  <r>
    <n v="12507"/>
    <x v="0"/>
    <x v="1"/>
    <n v="30000"/>
    <n v="1"/>
    <x v="1"/>
    <s v="Clerical"/>
    <s v="Yes"/>
    <n v="1"/>
    <x v="0"/>
    <x v="0"/>
    <x v="1"/>
    <x v="0"/>
    <x v="0"/>
  </r>
  <r>
    <n v="23940"/>
    <x v="0"/>
    <x v="1"/>
    <n v="40000"/>
    <n v="1"/>
    <x v="0"/>
    <s v="Skilled Manual"/>
    <s v="Yes"/>
    <n v="1"/>
    <x v="0"/>
    <x v="0"/>
    <x v="20"/>
    <x v="0"/>
    <x v="1"/>
  </r>
  <r>
    <n v="19441"/>
    <x v="0"/>
    <x v="1"/>
    <n v="40000"/>
    <n v="0"/>
    <x v="4"/>
    <s v="Clerical"/>
    <s v="Yes"/>
    <n v="0"/>
    <x v="0"/>
    <x v="0"/>
    <x v="37"/>
    <x v="0"/>
    <x v="1"/>
  </r>
  <r>
    <n v="26852"/>
    <x v="0"/>
    <x v="0"/>
    <n v="20000"/>
    <n v="3"/>
    <x v="2"/>
    <s v="Manual"/>
    <s v="Yes"/>
    <n v="2"/>
    <x v="0"/>
    <x v="0"/>
    <x v="1"/>
    <x v="0"/>
    <x v="0"/>
  </r>
  <r>
    <n v="12274"/>
    <x v="1"/>
    <x v="1"/>
    <n v="10000"/>
    <n v="2"/>
    <x v="2"/>
    <s v="Manual"/>
    <s v="Yes"/>
    <n v="0"/>
    <x v="0"/>
    <x v="0"/>
    <x v="11"/>
    <x v="0"/>
    <x v="0"/>
  </r>
  <r>
    <n v="20236"/>
    <x v="1"/>
    <x v="1"/>
    <n v="60000"/>
    <n v="3"/>
    <x v="0"/>
    <s v="Professional"/>
    <s v="No"/>
    <n v="2"/>
    <x v="0"/>
    <x v="1"/>
    <x v="1"/>
    <x v="0"/>
    <x v="1"/>
  </r>
  <r>
    <n v="24149"/>
    <x v="0"/>
    <x v="1"/>
    <n v="10000"/>
    <n v="2"/>
    <x v="1"/>
    <s v="Manual"/>
    <s v="Yes"/>
    <n v="0"/>
    <x v="3"/>
    <x v="0"/>
    <x v="38"/>
    <x v="0"/>
    <x v="0"/>
  </r>
  <r>
    <n v="26139"/>
    <x v="1"/>
    <x v="1"/>
    <n v="60000"/>
    <n v="1"/>
    <x v="1"/>
    <s v="Skilled Manual"/>
    <s v="Yes"/>
    <n v="1"/>
    <x v="2"/>
    <x v="1"/>
    <x v="12"/>
    <x v="0"/>
    <x v="0"/>
  </r>
  <r>
    <n v="18491"/>
    <x v="1"/>
    <x v="0"/>
    <n v="70000"/>
    <n v="2"/>
    <x v="2"/>
    <s v="Professional"/>
    <s v="Yes"/>
    <n v="2"/>
    <x v="2"/>
    <x v="1"/>
    <x v="38"/>
    <x v="0"/>
    <x v="1"/>
  </r>
  <r>
    <n v="22707"/>
    <x v="1"/>
    <x v="0"/>
    <n v="30000"/>
    <n v="0"/>
    <x v="1"/>
    <s v="Clerical"/>
    <s v="No"/>
    <n v="1"/>
    <x v="1"/>
    <x v="0"/>
    <x v="25"/>
    <x v="0"/>
    <x v="0"/>
  </r>
  <r>
    <n v="20430"/>
    <x v="0"/>
    <x v="1"/>
    <n v="70000"/>
    <n v="2"/>
    <x v="1"/>
    <s v="Skilled Manual"/>
    <s v="Yes"/>
    <n v="2"/>
    <x v="2"/>
    <x v="1"/>
    <x v="31"/>
    <x v="1"/>
    <x v="1"/>
  </r>
  <r>
    <n v="27494"/>
    <x v="1"/>
    <x v="0"/>
    <n v="40000"/>
    <n v="2"/>
    <x v="1"/>
    <s v="Skilled Manual"/>
    <s v="No"/>
    <n v="2"/>
    <x v="3"/>
    <x v="1"/>
    <x v="39"/>
    <x v="1"/>
    <x v="1"/>
  </r>
  <r>
    <n v="26829"/>
    <x v="0"/>
    <x v="0"/>
    <n v="40000"/>
    <n v="0"/>
    <x v="0"/>
    <s v="Clerical"/>
    <s v="Yes"/>
    <n v="0"/>
    <x v="0"/>
    <x v="0"/>
    <x v="13"/>
    <x v="0"/>
    <x v="1"/>
  </r>
  <r>
    <n v="28395"/>
    <x v="1"/>
    <x v="1"/>
    <n v="40000"/>
    <n v="0"/>
    <x v="0"/>
    <s v="Professional"/>
    <s v="No"/>
    <n v="0"/>
    <x v="0"/>
    <x v="0"/>
    <x v="32"/>
    <x v="0"/>
    <x v="1"/>
  </r>
  <r>
    <n v="21006"/>
    <x v="1"/>
    <x v="0"/>
    <n v="30000"/>
    <n v="1"/>
    <x v="1"/>
    <s v="Manual"/>
    <s v="No"/>
    <n v="0"/>
    <x v="0"/>
    <x v="0"/>
    <x v="30"/>
    <x v="0"/>
    <x v="1"/>
  </r>
  <r>
    <n v="14682"/>
    <x v="1"/>
    <x v="0"/>
    <n v="70000"/>
    <n v="0"/>
    <x v="0"/>
    <s v="Professional"/>
    <s v="No"/>
    <n v="1"/>
    <x v="2"/>
    <x v="1"/>
    <x v="13"/>
    <x v="0"/>
    <x v="0"/>
  </r>
  <r>
    <n v="17650"/>
    <x v="1"/>
    <x v="0"/>
    <n v="40000"/>
    <n v="2"/>
    <x v="1"/>
    <s v="Clerical"/>
    <s v="Yes"/>
    <n v="2"/>
    <x v="3"/>
    <x v="0"/>
    <x v="11"/>
    <x v="0"/>
    <x v="0"/>
  </r>
  <r>
    <n v="29191"/>
    <x v="1"/>
    <x v="0"/>
    <n v="130000"/>
    <n v="1"/>
    <x v="4"/>
    <s v="Management"/>
    <s v="No"/>
    <n v="1"/>
    <x v="0"/>
    <x v="1"/>
    <x v="4"/>
    <x v="0"/>
    <x v="1"/>
  </r>
  <r>
    <n v="15030"/>
    <x v="0"/>
    <x v="1"/>
    <n v="20000"/>
    <n v="0"/>
    <x v="0"/>
    <s v="Clerical"/>
    <s v="Yes"/>
    <n v="0"/>
    <x v="0"/>
    <x v="1"/>
    <x v="22"/>
    <x v="0"/>
    <x v="1"/>
  </r>
  <r>
    <n v="24140"/>
    <x v="1"/>
    <x v="1"/>
    <n v="10000"/>
    <n v="0"/>
    <x v="4"/>
    <s v="Manual"/>
    <s v="No"/>
    <n v="0"/>
    <x v="0"/>
    <x v="0"/>
    <x v="25"/>
    <x v="0"/>
    <x v="1"/>
  </r>
  <r>
    <n v="22496"/>
    <x v="0"/>
    <x v="0"/>
    <n v="30000"/>
    <n v="1"/>
    <x v="0"/>
    <s v="Skilled Manual"/>
    <s v="Yes"/>
    <n v="2"/>
    <x v="0"/>
    <x v="0"/>
    <x v="0"/>
    <x v="0"/>
    <x v="0"/>
  </r>
  <r>
    <n v="24065"/>
    <x v="1"/>
    <x v="0"/>
    <n v="20000"/>
    <n v="0"/>
    <x v="2"/>
    <s v="Manual"/>
    <s v="Yes"/>
    <n v="0"/>
    <x v="0"/>
    <x v="0"/>
    <x v="8"/>
    <x v="0"/>
    <x v="1"/>
  </r>
  <r>
    <n v="19914"/>
    <x v="0"/>
    <x v="1"/>
    <n v="80000"/>
    <n v="5"/>
    <x v="0"/>
    <s v="Management"/>
    <s v="Yes"/>
    <n v="2"/>
    <x v="1"/>
    <x v="0"/>
    <x v="24"/>
    <x v="1"/>
    <x v="0"/>
  </r>
  <r>
    <n v="12871"/>
    <x v="1"/>
    <x v="0"/>
    <n v="30000"/>
    <n v="0"/>
    <x v="1"/>
    <s v="Clerical"/>
    <s v="No"/>
    <n v="1"/>
    <x v="1"/>
    <x v="0"/>
    <x v="19"/>
    <x v="0"/>
    <x v="0"/>
  </r>
  <r>
    <n v="22988"/>
    <x v="0"/>
    <x v="0"/>
    <n v="40000"/>
    <n v="2"/>
    <x v="0"/>
    <s v="Management"/>
    <s v="Yes"/>
    <n v="2"/>
    <x v="2"/>
    <x v="1"/>
    <x v="29"/>
    <x v="1"/>
    <x v="1"/>
  </r>
  <r>
    <n v="15922"/>
    <x v="0"/>
    <x v="1"/>
    <n v="150000"/>
    <n v="2"/>
    <x v="2"/>
    <s v="Professional"/>
    <s v="Yes"/>
    <n v="4"/>
    <x v="0"/>
    <x v="0"/>
    <x v="28"/>
    <x v="0"/>
    <x v="0"/>
  </r>
  <r>
    <n v="12344"/>
    <x v="1"/>
    <x v="0"/>
    <n v="80000"/>
    <n v="0"/>
    <x v="0"/>
    <s v="Professional"/>
    <s v="No"/>
    <n v="3"/>
    <x v="4"/>
    <x v="1"/>
    <x v="23"/>
    <x v="0"/>
    <x v="0"/>
  </r>
  <r>
    <n v="23627"/>
    <x v="1"/>
    <x v="0"/>
    <n v="100000"/>
    <n v="3"/>
    <x v="1"/>
    <s v="Management"/>
    <s v="No"/>
    <n v="4"/>
    <x v="2"/>
    <x v="0"/>
    <x v="16"/>
    <x v="1"/>
    <x v="0"/>
  </r>
  <r>
    <n v="27775"/>
    <x v="1"/>
    <x v="0"/>
    <n v="40000"/>
    <n v="0"/>
    <x v="0"/>
    <s v="Clerical"/>
    <s v="No"/>
    <n v="0"/>
    <x v="0"/>
    <x v="0"/>
    <x v="13"/>
    <x v="0"/>
    <x v="1"/>
  </r>
  <r>
    <n v="29301"/>
    <x v="0"/>
    <x v="1"/>
    <n v="80000"/>
    <n v="5"/>
    <x v="0"/>
    <s v="Professional"/>
    <s v="Yes"/>
    <n v="4"/>
    <x v="3"/>
    <x v="1"/>
    <x v="8"/>
    <x v="0"/>
    <x v="0"/>
  </r>
  <r>
    <n v="12716"/>
    <x v="1"/>
    <x v="1"/>
    <n v="30000"/>
    <n v="0"/>
    <x v="1"/>
    <s v="Clerical"/>
    <s v="Yes"/>
    <n v="1"/>
    <x v="1"/>
    <x v="0"/>
    <x v="21"/>
    <x v="0"/>
    <x v="0"/>
  </r>
  <r>
    <n v="12472"/>
    <x v="0"/>
    <x v="1"/>
    <n v="30000"/>
    <n v="1"/>
    <x v="0"/>
    <s v="Clerical"/>
    <s v="Yes"/>
    <n v="1"/>
    <x v="1"/>
    <x v="0"/>
    <x v="32"/>
    <x v="0"/>
    <x v="0"/>
  </r>
  <r>
    <n v="20970"/>
    <x v="1"/>
    <x v="1"/>
    <n v="10000"/>
    <n v="2"/>
    <x v="1"/>
    <s v="Manual"/>
    <s v="Yes"/>
    <n v="1"/>
    <x v="0"/>
    <x v="0"/>
    <x v="31"/>
    <x v="1"/>
    <x v="1"/>
  </r>
  <r>
    <n v="26818"/>
    <x v="1"/>
    <x v="1"/>
    <n v="10000"/>
    <n v="3"/>
    <x v="2"/>
    <s v="Manual"/>
    <s v="Yes"/>
    <n v="1"/>
    <x v="0"/>
    <x v="0"/>
    <x v="32"/>
    <x v="0"/>
    <x v="1"/>
  </r>
  <r>
    <n v="12993"/>
    <x v="0"/>
    <x v="1"/>
    <n v="60000"/>
    <n v="2"/>
    <x v="0"/>
    <s v="Professional"/>
    <s v="Yes"/>
    <n v="1"/>
    <x v="1"/>
    <x v="1"/>
    <x v="34"/>
    <x v="0"/>
    <x v="0"/>
  </r>
  <r>
    <n v="14192"/>
    <x v="0"/>
    <x v="1"/>
    <n v="90000"/>
    <n v="4"/>
    <x v="2"/>
    <s v="Management"/>
    <s v="Yes"/>
    <n v="3"/>
    <x v="2"/>
    <x v="0"/>
    <x v="16"/>
    <x v="1"/>
    <x v="1"/>
  </r>
  <r>
    <n v="19477"/>
    <x v="0"/>
    <x v="1"/>
    <n v="40000"/>
    <n v="0"/>
    <x v="0"/>
    <s v="Professional"/>
    <s v="Yes"/>
    <n v="0"/>
    <x v="0"/>
    <x v="0"/>
    <x v="8"/>
    <x v="0"/>
    <x v="1"/>
  </r>
  <r>
    <n v="26796"/>
    <x v="1"/>
    <x v="1"/>
    <n v="40000"/>
    <n v="2"/>
    <x v="0"/>
    <s v="Management"/>
    <s v="Yes"/>
    <n v="2"/>
    <x v="2"/>
    <x v="1"/>
    <x v="27"/>
    <x v="1"/>
    <x v="1"/>
  </r>
  <r>
    <n v="21094"/>
    <x v="1"/>
    <x v="0"/>
    <n v="30000"/>
    <n v="2"/>
    <x v="1"/>
    <s v="Clerical"/>
    <s v="Yes"/>
    <n v="2"/>
    <x v="0"/>
    <x v="0"/>
    <x v="0"/>
    <x v="0"/>
    <x v="0"/>
  </r>
  <r>
    <n v="12234"/>
    <x v="0"/>
    <x v="1"/>
    <n v="10000"/>
    <n v="2"/>
    <x v="1"/>
    <s v="Manual"/>
    <s v="Yes"/>
    <n v="1"/>
    <x v="1"/>
    <x v="0"/>
    <x v="31"/>
    <x v="1"/>
    <x v="0"/>
  </r>
  <r>
    <n v="28683"/>
    <x v="1"/>
    <x v="0"/>
    <n v="10000"/>
    <n v="1"/>
    <x v="2"/>
    <s v="Manual"/>
    <s v="No"/>
    <n v="1"/>
    <x v="2"/>
    <x v="0"/>
    <x v="11"/>
    <x v="0"/>
    <x v="1"/>
  </r>
  <r>
    <n v="17994"/>
    <x v="1"/>
    <x v="1"/>
    <n v="20000"/>
    <n v="2"/>
    <x v="2"/>
    <s v="Manual"/>
    <s v="Yes"/>
    <n v="2"/>
    <x v="0"/>
    <x v="0"/>
    <x v="0"/>
    <x v="0"/>
    <x v="0"/>
  </r>
  <r>
    <n v="24273"/>
    <x v="0"/>
    <x v="0"/>
    <n v="20000"/>
    <n v="2"/>
    <x v="3"/>
    <s v="Clerical"/>
    <s v="Yes"/>
    <n v="2"/>
    <x v="2"/>
    <x v="1"/>
    <x v="10"/>
    <x v="1"/>
    <x v="1"/>
  </r>
  <r>
    <n v="26547"/>
    <x v="1"/>
    <x v="0"/>
    <n v="30000"/>
    <n v="2"/>
    <x v="1"/>
    <s v="Clerical"/>
    <s v="No"/>
    <n v="2"/>
    <x v="2"/>
    <x v="1"/>
    <x v="2"/>
    <x v="1"/>
    <x v="1"/>
  </r>
  <r>
    <n v="22500"/>
    <x v="1"/>
    <x v="1"/>
    <n v="40000"/>
    <n v="0"/>
    <x v="0"/>
    <s v="Professional"/>
    <s v="No"/>
    <n v="0"/>
    <x v="0"/>
    <x v="0"/>
    <x v="8"/>
    <x v="0"/>
    <x v="1"/>
  </r>
  <r>
    <n v="23993"/>
    <x v="1"/>
    <x v="0"/>
    <n v="10000"/>
    <n v="0"/>
    <x v="1"/>
    <s v="Manual"/>
    <s v="No"/>
    <n v="1"/>
    <x v="0"/>
    <x v="1"/>
    <x v="22"/>
    <x v="0"/>
    <x v="1"/>
  </r>
  <r>
    <n v="14832"/>
    <x v="0"/>
    <x v="1"/>
    <n v="40000"/>
    <n v="1"/>
    <x v="0"/>
    <s v="Skilled Manual"/>
    <s v="Yes"/>
    <n v="0"/>
    <x v="0"/>
    <x v="0"/>
    <x v="0"/>
    <x v="0"/>
    <x v="1"/>
  </r>
  <r>
    <n v="16614"/>
    <x v="0"/>
    <x v="0"/>
    <n v="80000"/>
    <n v="0"/>
    <x v="0"/>
    <s v="Professional"/>
    <s v="Yes"/>
    <n v="3"/>
    <x v="4"/>
    <x v="1"/>
    <x v="21"/>
    <x v="0"/>
    <x v="0"/>
  </r>
  <r>
    <n v="20877"/>
    <x v="1"/>
    <x v="1"/>
    <n v="30000"/>
    <n v="1"/>
    <x v="0"/>
    <s v="Clerical"/>
    <s v="Yes"/>
    <n v="0"/>
    <x v="3"/>
    <x v="0"/>
    <x v="34"/>
    <x v="0"/>
    <x v="1"/>
  </r>
  <r>
    <n v="20729"/>
    <x v="0"/>
    <x v="0"/>
    <n v="40000"/>
    <n v="2"/>
    <x v="1"/>
    <s v="Clerical"/>
    <s v="No"/>
    <n v="1"/>
    <x v="0"/>
    <x v="0"/>
    <x v="17"/>
    <x v="0"/>
    <x v="0"/>
  </r>
  <r>
    <n v="22464"/>
    <x v="0"/>
    <x v="1"/>
    <n v="40000"/>
    <n v="0"/>
    <x v="4"/>
    <s v="Clerical"/>
    <s v="Yes"/>
    <n v="0"/>
    <x v="0"/>
    <x v="0"/>
    <x v="34"/>
    <x v="0"/>
    <x v="1"/>
  </r>
  <r>
    <n v="19475"/>
    <x v="0"/>
    <x v="0"/>
    <n v="40000"/>
    <n v="0"/>
    <x v="0"/>
    <s v="Professional"/>
    <s v="No"/>
    <n v="0"/>
    <x v="0"/>
    <x v="0"/>
    <x v="8"/>
    <x v="0"/>
    <x v="1"/>
  </r>
  <r>
    <n v="19675"/>
    <x v="0"/>
    <x v="1"/>
    <n v="20000"/>
    <n v="4"/>
    <x v="2"/>
    <s v="Skilled Manual"/>
    <s v="Yes"/>
    <n v="2"/>
    <x v="2"/>
    <x v="1"/>
    <x v="2"/>
    <x v="1"/>
    <x v="0"/>
  </r>
  <r>
    <n v="12728"/>
    <x v="1"/>
    <x v="1"/>
    <n v="30000"/>
    <n v="0"/>
    <x v="1"/>
    <s v="Clerical"/>
    <s v="No"/>
    <n v="1"/>
    <x v="3"/>
    <x v="0"/>
    <x v="40"/>
    <x v="0"/>
    <x v="0"/>
  </r>
  <r>
    <n v="26154"/>
    <x v="0"/>
    <x v="1"/>
    <n v="60000"/>
    <n v="1"/>
    <x v="1"/>
    <s v="Skilled Manual"/>
    <s v="Yes"/>
    <n v="1"/>
    <x v="2"/>
    <x v="1"/>
    <x v="1"/>
    <x v="0"/>
    <x v="1"/>
  </r>
  <r>
    <n v="29117"/>
    <x v="1"/>
    <x v="1"/>
    <n v="100000"/>
    <n v="1"/>
    <x v="0"/>
    <s v="Management"/>
    <s v="No"/>
    <n v="3"/>
    <x v="0"/>
    <x v="1"/>
    <x v="28"/>
    <x v="0"/>
    <x v="0"/>
  </r>
  <r>
    <n v="17845"/>
    <x v="1"/>
    <x v="0"/>
    <n v="20000"/>
    <n v="0"/>
    <x v="3"/>
    <s v="Manual"/>
    <s v="No"/>
    <n v="2"/>
    <x v="3"/>
    <x v="0"/>
    <x v="21"/>
    <x v="0"/>
    <x v="0"/>
  </r>
  <r>
    <n v="25058"/>
    <x v="0"/>
    <x v="1"/>
    <n v="100000"/>
    <n v="1"/>
    <x v="0"/>
    <s v="Management"/>
    <s v="Yes"/>
    <n v="3"/>
    <x v="1"/>
    <x v="1"/>
    <x v="15"/>
    <x v="0"/>
    <x v="0"/>
  </r>
  <r>
    <n v="23426"/>
    <x v="1"/>
    <x v="1"/>
    <n v="80000"/>
    <n v="5"/>
    <x v="4"/>
    <s v="Management"/>
    <s v="Yes"/>
    <n v="3"/>
    <x v="0"/>
    <x v="1"/>
    <x v="8"/>
    <x v="0"/>
    <x v="0"/>
  </r>
  <r>
    <n v="14798"/>
    <x v="1"/>
    <x v="0"/>
    <n v="10000"/>
    <n v="4"/>
    <x v="3"/>
    <s v="Manual"/>
    <s v="Yes"/>
    <n v="2"/>
    <x v="0"/>
    <x v="0"/>
    <x v="3"/>
    <x v="0"/>
    <x v="1"/>
  </r>
  <r>
    <n v="12664"/>
    <x v="0"/>
    <x v="0"/>
    <n v="130000"/>
    <n v="5"/>
    <x v="1"/>
    <s v="Professional"/>
    <s v="Yes"/>
    <n v="4"/>
    <x v="0"/>
    <x v="0"/>
    <x v="14"/>
    <x v="1"/>
    <x v="0"/>
  </r>
  <r>
    <n v="23979"/>
    <x v="1"/>
    <x v="1"/>
    <n v="10000"/>
    <n v="2"/>
    <x v="1"/>
    <s v="Manual"/>
    <s v="No"/>
    <n v="0"/>
    <x v="0"/>
    <x v="0"/>
    <x v="5"/>
    <x v="1"/>
    <x v="0"/>
  </r>
  <r>
    <n v="25605"/>
    <x v="1"/>
    <x v="0"/>
    <n v="20000"/>
    <n v="2"/>
    <x v="1"/>
    <s v="Manual"/>
    <s v="No"/>
    <n v="1"/>
    <x v="0"/>
    <x v="0"/>
    <x v="9"/>
    <x v="1"/>
    <x v="1"/>
  </r>
  <r>
    <n v="20797"/>
    <x v="0"/>
    <x v="0"/>
    <n v="10000"/>
    <n v="1"/>
    <x v="0"/>
    <s v="Manual"/>
    <s v="Yes"/>
    <n v="0"/>
    <x v="0"/>
    <x v="0"/>
    <x v="28"/>
    <x v="0"/>
    <x v="0"/>
  </r>
  <r>
    <n v="21980"/>
    <x v="1"/>
    <x v="0"/>
    <n v="60000"/>
    <n v="1"/>
    <x v="0"/>
    <s v="Professional"/>
    <s v="Yes"/>
    <n v="1"/>
    <x v="2"/>
    <x v="1"/>
    <x v="20"/>
    <x v="0"/>
    <x v="1"/>
  </r>
  <r>
    <n v="25460"/>
    <x v="0"/>
    <x v="0"/>
    <n v="20000"/>
    <n v="2"/>
    <x v="2"/>
    <s v="Manual"/>
    <s v="Yes"/>
    <n v="0"/>
    <x v="0"/>
    <x v="0"/>
    <x v="8"/>
    <x v="0"/>
    <x v="1"/>
  </r>
  <r>
    <n v="29181"/>
    <x v="1"/>
    <x v="0"/>
    <n v="60000"/>
    <n v="2"/>
    <x v="0"/>
    <s v="Professional"/>
    <s v="No"/>
    <n v="1"/>
    <x v="0"/>
    <x v="1"/>
    <x v="13"/>
    <x v="0"/>
    <x v="1"/>
  </r>
  <r>
    <n v="24279"/>
    <x v="1"/>
    <x v="1"/>
    <n v="40000"/>
    <n v="2"/>
    <x v="1"/>
    <s v="Skilled Manual"/>
    <s v="No"/>
    <n v="2"/>
    <x v="3"/>
    <x v="1"/>
    <x v="31"/>
    <x v="1"/>
    <x v="0"/>
  </r>
  <r>
    <n v="22402"/>
    <x v="0"/>
    <x v="1"/>
    <n v="10000"/>
    <n v="0"/>
    <x v="1"/>
    <s v="Manual"/>
    <s v="Yes"/>
    <n v="1"/>
    <x v="1"/>
    <x v="1"/>
    <x v="37"/>
    <x v="0"/>
    <x v="1"/>
  </r>
  <r>
    <n v="15465"/>
    <x v="0"/>
    <x v="0"/>
    <n v="10000"/>
    <n v="0"/>
    <x v="1"/>
    <s v="Manual"/>
    <s v="No"/>
    <n v="1"/>
    <x v="0"/>
    <x v="1"/>
    <x v="37"/>
    <x v="0"/>
    <x v="0"/>
  </r>
  <r>
    <n v="26757"/>
    <x v="1"/>
    <x v="1"/>
    <n v="90000"/>
    <n v="1"/>
    <x v="0"/>
    <s v="Professional"/>
    <s v="Yes"/>
    <n v="1"/>
    <x v="1"/>
    <x v="1"/>
    <x v="15"/>
    <x v="0"/>
    <x v="1"/>
  </r>
  <r>
    <n v="14233"/>
    <x v="1"/>
    <x v="1"/>
    <n v="100000"/>
    <n v="0"/>
    <x v="2"/>
    <s v="Management"/>
    <s v="Yes"/>
    <n v="3"/>
    <x v="4"/>
    <x v="1"/>
    <x v="11"/>
    <x v="0"/>
    <x v="0"/>
  </r>
  <r>
    <n v="14058"/>
    <x v="1"/>
    <x v="1"/>
    <n v="70000"/>
    <n v="0"/>
    <x v="0"/>
    <s v="Professional"/>
    <s v="No"/>
    <n v="1"/>
    <x v="2"/>
    <x v="1"/>
    <x v="3"/>
    <x v="0"/>
    <x v="1"/>
  </r>
  <r>
    <n v="12273"/>
    <x v="0"/>
    <x v="1"/>
    <n v="30000"/>
    <n v="1"/>
    <x v="0"/>
    <s v="Clerical"/>
    <s v="Yes"/>
    <n v="0"/>
    <x v="0"/>
    <x v="0"/>
    <x v="15"/>
    <x v="0"/>
    <x v="0"/>
  </r>
  <r>
    <n v="17203"/>
    <x v="0"/>
    <x v="0"/>
    <n v="130000"/>
    <n v="4"/>
    <x v="1"/>
    <s v="Professional"/>
    <s v="Yes"/>
    <n v="4"/>
    <x v="2"/>
    <x v="0"/>
    <x v="33"/>
    <x v="1"/>
    <x v="1"/>
  </r>
  <r>
    <n v="18144"/>
    <x v="0"/>
    <x v="0"/>
    <n v="80000"/>
    <n v="5"/>
    <x v="0"/>
    <s v="Management"/>
    <s v="Yes"/>
    <n v="2"/>
    <x v="1"/>
    <x v="0"/>
    <x v="33"/>
    <x v="1"/>
    <x v="0"/>
  </r>
  <r>
    <n v="23963"/>
    <x v="0"/>
    <x v="1"/>
    <n v="10000"/>
    <n v="0"/>
    <x v="3"/>
    <s v="Manual"/>
    <s v="No"/>
    <n v="2"/>
    <x v="0"/>
    <x v="0"/>
    <x v="6"/>
    <x v="0"/>
    <x v="0"/>
  </r>
  <r>
    <n v="17907"/>
    <x v="0"/>
    <x v="0"/>
    <n v="10000"/>
    <n v="0"/>
    <x v="1"/>
    <s v="Manual"/>
    <s v="Yes"/>
    <n v="1"/>
    <x v="1"/>
    <x v="1"/>
    <x v="40"/>
    <x v="0"/>
    <x v="0"/>
  </r>
  <r>
    <n v="19442"/>
    <x v="1"/>
    <x v="1"/>
    <n v="50000"/>
    <n v="0"/>
    <x v="4"/>
    <s v="Skilled Manual"/>
    <s v="Yes"/>
    <n v="0"/>
    <x v="0"/>
    <x v="0"/>
    <x v="34"/>
    <x v="0"/>
    <x v="1"/>
  </r>
  <r>
    <n v="17504"/>
    <x v="1"/>
    <x v="0"/>
    <n v="80000"/>
    <n v="2"/>
    <x v="1"/>
    <s v="Skilled Manual"/>
    <s v="Yes"/>
    <n v="2"/>
    <x v="2"/>
    <x v="1"/>
    <x v="31"/>
    <x v="1"/>
    <x v="1"/>
  </r>
  <r>
    <n v="12253"/>
    <x v="1"/>
    <x v="0"/>
    <n v="20000"/>
    <n v="0"/>
    <x v="1"/>
    <s v="Manual"/>
    <s v="Yes"/>
    <n v="0"/>
    <x v="0"/>
    <x v="1"/>
    <x v="19"/>
    <x v="0"/>
    <x v="1"/>
  </r>
  <r>
    <n v="27304"/>
    <x v="1"/>
    <x v="0"/>
    <n v="110000"/>
    <n v="2"/>
    <x v="1"/>
    <s v="Professional"/>
    <s v="No"/>
    <n v="3"/>
    <x v="2"/>
    <x v="0"/>
    <x v="28"/>
    <x v="0"/>
    <x v="0"/>
  </r>
  <r>
    <n v="14191"/>
    <x v="0"/>
    <x v="1"/>
    <n v="160000"/>
    <n v="4"/>
    <x v="1"/>
    <s v="Professional"/>
    <s v="No"/>
    <n v="2"/>
    <x v="4"/>
    <x v="0"/>
    <x v="10"/>
    <x v="1"/>
    <x v="1"/>
  </r>
  <r>
    <n v="12212"/>
    <x v="0"/>
    <x v="0"/>
    <n v="10000"/>
    <n v="0"/>
    <x v="4"/>
    <s v="Manual"/>
    <s v="Yes"/>
    <n v="0"/>
    <x v="0"/>
    <x v="0"/>
    <x v="34"/>
    <x v="0"/>
    <x v="1"/>
  </r>
  <r>
    <n v="25529"/>
    <x v="1"/>
    <x v="1"/>
    <n v="10000"/>
    <n v="1"/>
    <x v="4"/>
    <s v="Manual"/>
    <s v="Yes"/>
    <n v="0"/>
    <x v="0"/>
    <x v="0"/>
    <x v="20"/>
    <x v="0"/>
    <x v="0"/>
  </r>
  <r>
    <n v="22170"/>
    <x v="0"/>
    <x v="0"/>
    <n v="30000"/>
    <n v="3"/>
    <x v="1"/>
    <s v="Clerical"/>
    <s v="No"/>
    <n v="2"/>
    <x v="3"/>
    <x v="1"/>
    <x v="10"/>
    <x v="1"/>
    <x v="1"/>
  </r>
  <r>
    <n v="19445"/>
    <x v="0"/>
    <x v="0"/>
    <n v="10000"/>
    <n v="2"/>
    <x v="2"/>
    <s v="Manual"/>
    <s v="No"/>
    <n v="1"/>
    <x v="0"/>
    <x v="0"/>
    <x v="13"/>
    <x v="0"/>
    <x v="0"/>
  </r>
  <r>
    <n v="15265"/>
    <x v="1"/>
    <x v="1"/>
    <n v="40000"/>
    <n v="2"/>
    <x v="0"/>
    <s v="Management"/>
    <s v="Yes"/>
    <n v="2"/>
    <x v="2"/>
    <x v="1"/>
    <x v="29"/>
    <x v="1"/>
    <x v="1"/>
  </r>
  <r>
    <n v="28918"/>
    <x v="0"/>
    <x v="0"/>
    <n v="130000"/>
    <n v="4"/>
    <x v="2"/>
    <s v="Management"/>
    <s v="No"/>
    <n v="4"/>
    <x v="4"/>
    <x v="0"/>
    <x v="7"/>
    <x v="1"/>
    <x v="0"/>
  </r>
  <r>
    <n v="15799"/>
    <x v="0"/>
    <x v="0"/>
    <n v="90000"/>
    <n v="1"/>
    <x v="0"/>
    <s v="Professional"/>
    <s v="Yes"/>
    <n v="1"/>
    <x v="1"/>
    <x v="1"/>
    <x v="15"/>
    <x v="0"/>
    <x v="1"/>
  </r>
  <r>
    <n v="11047"/>
    <x v="0"/>
    <x v="0"/>
    <n v="30000"/>
    <n v="3"/>
    <x v="2"/>
    <s v="Skilled Manual"/>
    <s v="No"/>
    <n v="2"/>
    <x v="3"/>
    <x v="1"/>
    <x v="16"/>
    <x v="1"/>
    <x v="1"/>
  </r>
  <r>
    <n v="18151"/>
    <x v="1"/>
    <x v="1"/>
    <n v="80000"/>
    <n v="5"/>
    <x v="1"/>
    <s v="Professional"/>
    <s v="No"/>
    <n v="2"/>
    <x v="4"/>
    <x v="0"/>
    <x v="14"/>
    <x v="1"/>
    <x v="0"/>
  </r>
  <r>
    <n v="20606"/>
    <x v="0"/>
    <x v="0"/>
    <n v="70000"/>
    <n v="0"/>
    <x v="0"/>
    <s v="Professional"/>
    <s v="Yes"/>
    <n v="4"/>
    <x v="4"/>
    <x v="1"/>
    <x v="21"/>
    <x v="0"/>
    <x v="1"/>
  </r>
  <r>
    <n v="19482"/>
    <x v="0"/>
    <x v="1"/>
    <n v="30000"/>
    <n v="1"/>
    <x v="1"/>
    <s v="Clerical"/>
    <s v="Yes"/>
    <n v="1"/>
    <x v="0"/>
    <x v="0"/>
    <x v="20"/>
    <x v="0"/>
    <x v="1"/>
  </r>
  <r>
    <n v="16489"/>
    <x v="0"/>
    <x v="1"/>
    <n v="30000"/>
    <n v="3"/>
    <x v="2"/>
    <s v="Skilled Manual"/>
    <s v="Yes"/>
    <n v="2"/>
    <x v="2"/>
    <x v="1"/>
    <x v="10"/>
    <x v="1"/>
    <x v="0"/>
  </r>
  <r>
    <n v="26944"/>
    <x v="1"/>
    <x v="1"/>
    <n v="90000"/>
    <n v="2"/>
    <x v="2"/>
    <s v="Manual"/>
    <s v="Yes"/>
    <n v="0"/>
    <x v="0"/>
    <x v="0"/>
    <x v="4"/>
    <x v="0"/>
    <x v="1"/>
  </r>
  <r>
    <n v="15682"/>
    <x v="1"/>
    <x v="0"/>
    <n v="80000"/>
    <n v="5"/>
    <x v="0"/>
    <s v="Management"/>
    <s v="Yes"/>
    <n v="2"/>
    <x v="4"/>
    <x v="0"/>
    <x v="24"/>
    <x v="1"/>
    <x v="0"/>
  </r>
  <r>
    <n v="26032"/>
    <x v="0"/>
    <x v="0"/>
    <n v="70000"/>
    <n v="5"/>
    <x v="0"/>
    <s v="Professional"/>
    <s v="Yes"/>
    <n v="4"/>
    <x v="4"/>
    <x v="1"/>
    <x v="3"/>
    <x v="0"/>
    <x v="0"/>
  </r>
  <r>
    <n v="17843"/>
    <x v="1"/>
    <x v="0"/>
    <n v="10000"/>
    <n v="0"/>
    <x v="3"/>
    <s v="Manual"/>
    <s v="No"/>
    <n v="2"/>
    <x v="0"/>
    <x v="0"/>
    <x v="21"/>
    <x v="0"/>
    <x v="0"/>
  </r>
  <r>
    <n v="25559"/>
    <x v="1"/>
    <x v="1"/>
    <n v="20000"/>
    <n v="0"/>
    <x v="0"/>
    <s v="Clerical"/>
    <s v="Yes"/>
    <n v="0"/>
    <x v="0"/>
    <x v="1"/>
    <x v="37"/>
    <x v="0"/>
    <x v="1"/>
  </r>
  <r>
    <n v="16209"/>
    <x v="1"/>
    <x v="0"/>
    <n v="50000"/>
    <n v="0"/>
    <x v="4"/>
    <s v="Skilled Manual"/>
    <s v="Yes"/>
    <n v="0"/>
    <x v="3"/>
    <x v="0"/>
    <x v="4"/>
    <x v="0"/>
    <x v="0"/>
  </r>
  <r>
    <n v="11147"/>
    <x v="0"/>
    <x v="1"/>
    <n v="60000"/>
    <n v="2"/>
    <x v="4"/>
    <s v="Management"/>
    <s v="Yes"/>
    <n v="1"/>
    <x v="0"/>
    <x v="1"/>
    <x v="41"/>
    <x v="1"/>
    <x v="1"/>
  </r>
  <r>
    <n v="15214"/>
    <x v="1"/>
    <x v="0"/>
    <n v="100000"/>
    <n v="0"/>
    <x v="4"/>
    <s v="Management"/>
    <s v="No"/>
    <n v="1"/>
    <x v="3"/>
    <x v="1"/>
    <x v="32"/>
    <x v="0"/>
    <x v="1"/>
  </r>
  <r>
    <n v="11453"/>
    <x v="1"/>
    <x v="1"/>
    <n v="80000"/>
    <n v="0"/>
    <x v="0"/>
    <s v="Professional"/>
    <s v="No"/>
    <n v="3"/>
    <x v="4"/>
    <x v="1"/>
    <x v="6"/>
    <x v="0"/>
    <x v="1"/>
  </r>
  <r>
    <n v="24584"/>
    <x v="1"/>
    <x v="1"/>
    <n v="60000"/>
    <n v="0"/>
    <x v="0"/>
    <s v="Professional"/>
    <s v="No"/>
    <n v="3"/>
    <x v="1"/>
    <x v="1"/>
    <x v="23"/>
    <x v="0"/>
    <x v="0"/>
  </r>
  <r>
    <n v="12585"/>
    <x v="0"/>
    <x v="1"/>
    <n v="10000"/>
    <n v="1"/>
    <x v="2"/>
    <s v="Manual"/>
    <s v="Yes"/>
    <n v="0"/>
    <x v="1"/>
    <x v="1"/>
    <x v="40"/>
    <x v="0"/>
    <x v="1"/>
  </r>
  <r>
    <n v="18626"/>
    <x v="1"/>
    <x v="1"/>
    <n v="40000"/>
    <n v="2"/>
    <x v="1"/>
    <s v="Clerical"/>
    <s v="Yes"/>
    <n v="0"/>
    <x v="3"/>
    <x v="0"/>
    <x v="6"/>
    <x v="0"/>
    <x v="1"/>
  </r>
  <r>
    <n v="29298"/>
    <x v="1"/>
    <x v="0"/>
    <n v="60000"/>
    <n v="1"/>
    <x v="1"/>
    <s v="Skilled Manual"/>
    <s v="Yes"/>
    <n v="1"/>
    <x v="2"/>
    <x v="1"/>
    <x v="30"/>
    <x v="0"/>
    <x v="1"/>
  </r>
  <r>
    <n v="24842"/>
    <x v="1"/>
    <x v="0"/>
    <n v="90000"/>
    <n v="3"/>
    <x v="2"/>
    <s v="Professional"/>
    <s v="No"/>
    <n v="1"/>
    <x v="1"/>
    <x v="0"/>
    <x v="36"/>
    <x v="1"/>
    <x v="0"/>
  </r>
  <r>
    <n v="15657"/>
    <x v="0"/>
    <x v="1"/>
    <n v="30000"/>
    <n v="3"/>
    <x v="4"/>
    <s v="Clerical"/>
    <s v="Yes"/>
    <n v="0"/>
    <x v="0"/>
    <x v="0"/>
    <x v="30"/>
    <x v="0"/>
    <x v="1"/>
  </r>
  <r>
    <n v="11415"/>
    <x v="1"/>
    <x v="1"/>
    <n v="90000"/>
    <n v="5"/>
    <x v="1"/>
    <s v="Professional"/>
    <s v="No"/>
    <n v="2"/>
    <x v="4"/>
    <x v="0"/>
    <x v="24"/>
    <x v="1"/>
    <x v="0"/>
  </r>
  <r>
    <n v="28729"/>
    <x v="1"/>
    <x v="0"/>
    <n v="20000"/>
    <n v="0"/>
    <x v="3"/>
    <s v="Manual"/>
    <s v="Yes"/>
    <n v="2"/>
    <x v="3"/>
    <x v="0"/>
    <x v="22"/>
    <x v="0"/>
    <x v="1"/>
  </r>
  <r>
    <n v="22633"/>
    <x v="1"/>
    <x v="0"/>
    <n v="40000"/>
    <n v="0"/>
    <x v="4"/>
    <s v="Clerical"/>
    <s v="Yes"/>
    <n v="0"/>
    <x v="0"/>
    <x v="0"/>
    <x v="34"/>
    <x v="0"/>
    <x v="1"/>
  </r>
  <r>
    <n v="25649"/>
    <x v="1"/>
    <x v="0"/>
    <n v="30000"/>
    <n v="3"/>
    <x v="1"/>
    <s v="Clerical"/>
    <s v="Yes"/>
    <n v="0"/>
    <x v="0"/>
    <x v="0"/>
    <x v="0"/>
    <x v="0"/>
    <x v="1"/>
  </r>
  <r>
    <n v="14669"/>
    <x v="0"/>
    <x v="0"/>
    <n v="80000"/>
    <n v="4"/>
    <x v="4"/>
    <s v="Management"/>
    <s v="Yes"/>
    <n v="1"/>
    <x v="0"/>
    <x v="1"/>
    <x v="4"/>
    <x v="0"/>
    <x v="0"/>
  </r>
  <r>
    <n v="19299"/>
    <x v="0"/>
    <x v="0"/>
    <n v="50000"/>
    <n v="0"/>
    <x v="4"/>
    <s v="Skilled Manual"/>
    <s v="Yes"/>
    <n v="0"/>
    <x v="0"/>
    <x v="0"/>
    <x v="4"/>
    <x v="0"/>
    <x v="1"/>
  </r>
  <r>
    <n v="20946"/>
    <x v="1"/>
    <x v="0"/>
    <n v="30000"/>
    <n v="0"/>
    <x v="1"/>
    <s v="Clerical"/>
    <s v="No"/>
    <n v="1"/>
    <x v="1"/>
    <x v="0"/>
    <x v="25"/>
    <x v="0"/>
    <x v="0"/>
  </r>
  <r>
    <n v="11451"/>
    <x v="1"/>
    <x v="1"/>
    <n v="70000"/>
    <n v="0"/>
    <x v="0"/>
    <s v="Professional"/>
    <s v="No"/>
    <n v="4"/>
    <x v="4"/>
    <x v="1"/>
    <x v="23"/>
    <x v="0"/>
    <x v="1"/>
  </r>
  <r>
    <n v="25553"/>
    <x v="0"/>
    <x v="1"/>
    <n v="30000"/>
    <n v="1"/>
    <x v="0"/>
    <s v="Clerical"/>
    <s v="Yes"/>
    <n v="0"/>
    <x v="0"/>
    <x v="0"/>
    <x v="27"/>
    <x v="1"/>
    <x v="1"/>
  </r>
  <r>
    <n v="27951"/>
    <x v="1"/>
    <x v="1"/>
    <n v="80000"/>
    <n v="4"/>
    <x v="1"/>
    <s v="Professional"/>
    <s v="No"/>
    <n v="2"/>
    <x v="1"/>
    <x v="0"/>
    <x v="9"/>
    <x v="1"/>
    <x v="1"/>
  </r>
  <r>
    <n v="25026"/>
    <x v="0"/>
    <x v="1"/>
    <n v="20000"/>
    <n v="2"/>
    <x v="3"/>
    <s v="Clerical"/>
    <s v="Yes"/>
    <n v="3"/>
    <x v="2"/>
    <x v="1"/>
    <x v="9"/>
    <x v="1"/>
    <x v="0"/>
  </r>
  <r>
    <n v="13673"/>
    <x v="1"/>
    <x v="0"/>
    <n v="20000"/>
    <n v="0"/>
    <x v="3"/>
    <s v="Manual"/>
    <s v="No"/>
    <n v="2"/>
    <x v="0"/>
    <x v="0"/>
    <x v="37"/>
    <x v="0"/>
    <x v="0"/>
  </r>
  <r>
    <n v="16043"/>
    <x v="1"/>
    <x v="1"/>
    <n v="10000"/>
    <n v="1"/>
    <x v="0"/>
    <s v="Manual"/>
    <s v="Yes"/>
    <n v="0"/>
    <x v="0"/>
    <x v="0"/>
    <x v="28"/>
    <x v="0"/>
    <x v="0"/>
  </r>
  <r>
    <n v="22399"/>
    <x v="1"/>
    <x v="1"/>
    <n v="10000"/>
    <n v="0"/>
    <x v="1"/>
    <s v="Manual"/>
    <s v="Yes"/>
    <n v="1"/>
    <x v="3"/>
    <x v="1"/>
    <x v="22"/>
    <x v="0"/>
    <x v="1"/>
  </r>
  <r>
    <n v="27696"/>
    <x v="0"/>
    <x v="1"/>
    <n v="60000"/>
    <n v="1"/>
    <x v="0"/>
    <s v="Professional"/>
    <s v="Yes"/>
    <n v="1"/>
    <x v="2"/>
    <x v="1"/>
    <x v="1"/>
    <x v="0"/>
    <x v="1"/>
  </r>
  <r>
    <n v="25313"/>
    <x v="1"/>
    <x v="1"/>
    <n v="10000"/>
    <n v="0"/>
    <x v="3"/>
    <s v="Manual"/>
    <s v="No"/>
    <n v="2"/>
    <x v="3"/>
    <x v="0"/>
    <x v="11"/>
    <x v="0"/>
    <x v="0"/>
  </r>
  <r>
    <n v="13813"/>
    <x v="0"/>
    <x v="0"/>
    <n v="30000"/>
    <n v="3"/>
    <x v="1"/>
    <s v="Clerical"/>
    <s v="No"/>
    <n v="0"/>
    <x v="0"/>
    <x v="0"/>
    <x v="0"/>
    <x v="0"/>
    <x v="0"/>
  </r>
  <r>
    <n v="18711"/>
    <x v="1"/>
    <x v="0"/>
    <n v="70000"/>
    <n v="5"/>
    <x v="0"/>
    <s v="Professional"/>
    <s v="Yes"/>
    <n v="4"/>
    <x v="4"/>
    <x v="1"/>
    <x v="32"/>
    <x v="0"/>
    <x v="0"/>
  </r>
  <r>
    <n v="19650"/>
    <x v="0"/>
    <x v="0"/>
    <n v="30000"/>
    <n v="2"/>
    <x v="1"/>
    <s v="Clerical"/>
    <s v="No"/>
    <n v="2"/>
    <x v="0"/>
    <x v="1"/>
    <x v="41"/>
    <x v="1"/>
    <x v="0"/>
  </r>
  <r>
    <n v="14135"/>
    <x v="0"/>
    <x v="1"/>
    <n v="20000"/>
    <n v="1"/>
    <x v="1"/>
    <s v="Manual"/>
    <s v="Yes"/>
    <n v="0"/>
    <x v="3"/>
    <x v="0"/>
    <x v="11"/>
    <x v="0"/>
    <x v="0"/>
  </r>
  <r>
    <n v="12833"/>
    <x v="1"/>
    <x v="0"/>
    <n v="20000"/>
    <n v="3"/>
    <x v="2"/>
    <s v="Manual"/>
    <s v="Yes"/>
    <n v="1"/>
    <x v="0"/>
    <x v="0"/>
    <x v="0"/>
    <x v="0"/>
    <x v="1"/>
  </r>
  <r>
    <n v="26849"/>
    <x v="0"/>
    <x v="1"/>
    <n v="10000"/>
    <n v="3"/>
    <x v="3"/>
    <s v="Manual"/>
    <s v="Yes"/>
    <n v="2"/>
    <x v="0"/>
    <x v="0"/>
    <x v="1"/>
    <x v="0"/>
    <x v="0"/>
  </r>
  <r>
    <n v="20962"/>
    <x v="0"/>
    <x v="0"/>
    <n v="20000"/>
    <n v="1"/>
    <x v="4"/>
    <s v="Clerical"/>
    <s v="Yes"/>
    <n v="0"/>
    <x v="0"/>
    <x v="0"/>
    <x v="12"/>
    <x v="0"/>
    <x v="0"/>
  </r>
  <r>
    <n v="28915"/>
    <x v="1"/>
    <x v="1"/>
    <n v="80000"/>
    <n v="5"/>
    <x v="2"/>
    <s v="Management"/>
    <s v="Yes"/>
    <n v="3"/>
    <x v="4"/>
    <x v="0"/>
    <x v="42"/>
    <x v="1"/>
    <x v="0"/>
  </r>
  <r>
    <n v="22830"/>
    <x v="0"/>
    <x v="1"/>
    <n v="120000"/>
    <n v="4"/>
    <x v="1"/>
    <s v="Management"/>
    <s v="Yes"/>
    <n v="3"/>
    <x v="4"/>
    <x v="0"/>
    <x v="16"/>
    <x v="1"/>
    <x v="0"/>
  </r>
  <r>
    <n v="14777"/>
    <x v="0"/>
    <x v="0"/>
    <n v="40000"/>
    <n v="0"/>
    <x v="0"/>
    <s v="Clerical"/>
    <s v="Yes"/>
    <n v="0"/>
    <x v="0"/>
    <x v="0"/>
    <x v="13"/>
    <x v="0"/>
    <x v="1"/>
  </r>
  <r>
    <n v="12591"/>
    <x v="0"/>
    <x v="0"/>
    <n v="30000"/>
    <n v="4"/>
    <x v="4"/>
    <s v="Clerical"/>
    <s v="Yes"/>
    <n v="0"/>
    <x v="0"/>
    <x v="0"/>
    <x v="12"/>
    <x v="0"/>
    <x v="0"/>
  </r>
  <r>
    <n v="24174"/>
    <x v="0"/>
    <x v="1"/>
    <n v="20000"/>
    <n v="0"/>
    <x v="0"/>
    <s v="Clerical"/>
    <s v="Yes"/>
    <n v="0"/>
    <x v="0"/>
    <x v="1"/>
    <x v="40"/>
    <x v="0"/>
    <x v="1"/>
  </r>
  <r>
    <n v="24611"/>
    <x v="1"/>
    <x v="1"/>
    <n v="90000"/>
    <n v="0"/>
    <x v="0"/>
    <s v="Professional"/>
    <s v="No"/>
    <n v="4"/>
    <x v="4"/>
    <x v="1"/>
    <x v="11"/>
    <x v="0"/>
    <x v="1"/>
  </r>
  <r>
    <n v="11340"/>
    <x v="0"/>
    <x v="0"/>
    <n v="10000"/>
    <n v="1"/>
    <x v="4"/>
    <s v="Clerical"/>
    <s v="Yes"/>
    <n v="0"/>
    <x v="0"/>
    <x v="0"/>
    <x v="43"/>
    <x v="1"/>
    <x v="1"/>
  </r>
  <r>
    <n v="25693"/>
    <x v="1"/>
    <x v="0"/>
    <n v="30000"/>
    <n v="5"/>
    <x v="4"/>
    <s v="Clerical"/>
    <s v="Yes"/>
    <n v="0"/>
    <x v="0"/>
    <x v="0"/>
    <x v="20"/>
    <x v="0"/>
    <x v="1"/>
  </r>
  <r>
    <n v="25555"/>
    <x v="0"/>
    <x v="0"/>
    <n v="10000"/>
    <n v="0"/>
    <x v="1"/>
    <s v="Manual"/>
    <s v="No"/>
    <n v="1"/>
    <x v="0"/>
    <x v="1"/>
    <x v="22"/>
    <x v="0"/>
    <x v="1"/>
  </r>
  <r>
    <n v="22006"/>
    <x v="0"/>
    <x v="1"/>
    <n v="70000"/>
    <n v="5"/>
    <x v="1"/>
    <s v="Skilled Manual"/>
    <s v="Yes"/>
    <n v="3"/>
    <x v="2"/>
    <x v="1"/>
    <x v="30"/>
    <x v="0"/>
    <x v="0"/>
  </r>
  <r>
    <n v="20060"/>
    <x v="1"/>
    <x v="0"/>
    <n v="30000"/>
    <n v="0"/>
    <x v="2"/>
    <s v="Manual"/>
    <s v="No"/>
    <n v="1"/>
    <x v="1"/>
    <x v="0"/>
    <x v="17"/>
    <x v="0"/>
    <x v="1"/>
  </r>
  <r>
    <n v="17702"/>
    <x v="0"/>
    <x v="1"/>
    <n v="10000"/>
    <n v="1"/>
    <x v="4"/>
    <s v="Manual"/>
    <s v="Yes"/>
    <n v="0"/>
    <x v="0"/>
    <x v="0"/>
    <x v="34"/>
    <x v="0"/>
    <x v="0"/>
  </r>
  <r>
    <n v="12503"/>
    <x v="1"/>
    <x v="0"/>
    <n v="30000"/>
    <n v="3"/>
    <x v="1"/>
    <s v="Clerical"/>
    <s v="Yes"/>
    <n v="2"/>
    <x v="0"/>
    <x v="0"/>
    <x v="40"/>
    <x v="0"/>
    <x v="0"/>
  </r>
  <r>
    <n v="23908"/>
    <x v="1"/>
    <x v="1"/>
    <n v="30000"/>
    <n v="1"/>
    <x v="0"/>
    <s v="Clerical"/>
    <s v="No"/>
    <n v="1"/>
    <x v="0"/>
    <x v="0"/>
    <x v="32"/>
    <x v="0"/>
    <x v="1"/>
  </r>
  <r>
    <n v="22527"/>
    <x v="1"/>
    <x v="0"/>
    <n v="20000"/>
    <n v="0"/>
    <x v="2"/>
    <s v="Manual"/>
    <s v="No"/>
    <n v="1"/>
    <x v="1"/>
    <x v="0"/>
    <x v="19"/>
    <x v="0"/>
    <x v="0"/>
  </r>
  <r>
    <n v="19057"/>
    <x v="0"/>
    <x v="0"/>
    <n v="120000"/>
    <n v="3"/>
    <x v="0"/>
    <s v="Management"/>
    <s v="No"/>
    <n v="2"/>
    <x v="4"/>
    <x v="0"/>
    <x v="31"/>
    <x v="1"/>
    <x v="1"/>
  </r>
  <r>
    <n v="18494"/>
    <x v="0"/>
    <x v="1"/>
    <n v="110000"/>
    <n v="5"/>
    <x v="0"/>
    <s v="Management"/>
    <s v="Yes"/>
    <n v="4"/>
    <x v="1"/>
    <x v="1"/>
    <x v="28"/>
    <x v="0"/>
    <x v="1"/>
  </r>
  <r>
    <n v="11249"/>
    <x v="0"/>
    <x v="0"/>
    <n v="130000"/>
    <n v="3"/>
    <x v="1"/>
    <s v="Professional"/>
    <s v="Yes"/>
    <n v="3"/>
    <x v="0"/>
    <x v="0"/>
    <x v="36"/>
    <x v="1"/>
    <x v="1"/>
  </r>
  <r>
    <n v="21568"/>
    <x v="0"/>
    <x v="0"/>
    <n v="100000"/>
    <n v="0"/>
    <x v="2"/>
    <s v="Management"/>
    <s v="Yes"/>
    <n v="4"/>
    <x v="4"/>
    <x v="1"/>
    <x v="17"/>
    <x v="0"/>
    <x v="1"/>
  </r>
  <r>
    <n v="13981"/>
    <x v="0"/>
    <x v="0"/>
    <n v="10000"/>
    <n v="5"/>
    <x v="2"/>
    <s v="Skilled Manual"/>
    <s v="No"/>
    <n v="3"/>
    <x v="3"/>
    <x v="1"/>
    <x v="24"/>
    <x v="1"/>
    <x v="0"/>
  </r>
  <r>
    <n v="23432"/>
    <x v="1"/>
    <x v="1"/>
    <n v="70000"/>
    <n v="0"/>
    <x v="0"/>
    <s v="Professional"/>
    <s v="Yes"/>
    <n v="1"/>
    <x v="2"/>
    <x v="1"/>
    <x v="34"/>
    <x v="0"/>
    <x v="1"/>
  </r>
  <r>
    <n v="22931"/>
    <x v="0"/>
    <x v="1"/>
    <n v="100000"/>
    <n v="5"/>
    <x v="4"/>
    <s v="Management"/>
    <s v="No"/>
    <n v="1"/>
    <x v="3"/>
    <x v="1"/>
    <x v="44"/>
    <x v="1"/>
    <x v="1"/>
  </r>
  <r>
    <n v="18172"/>
    <x v="0"/>
    <x v="1"/>
    <n v="130000"/>
    <n v="4"/>
    <x v="2"/>
    <s v="Professional"/>
    <s v="Yes"/>
    <n v="3"/>
    <x v="0"/>
    <x v="0"/>
    <x v="10"/>
    <x v="1"/>
    <x v="0"/>
  </r>
  <r>
    <n v="12666"/>
    <x v="1"/>
    <x v="1"/>
    <n v="60000"/>
    <n v="0"/>
    <x v="0"/>
    <s v="Professional"/>
    <s v="No"/>
    <n v="4"/>
    <x v="1"/>
    <x v="1"/>
    <x v="23"/>
    <x v="0"/>
    <x v="0"/>
  </r>
  <r>
    <n v="20598"/>
    <x v="0"/>
    <x v="1"/>
    <n v="100000"/>
    <n v="3"/>
    <x v="3"/>
    <s v="Professional"/>
    <s v="Yes"/>
    <n v="0"/>
    <x v="4"/>
    <x v="0"/>
    <x v="14"/>
    <x v="1"/>
    <x v="1"/>
  </r>
  <r>
    <n v="21375"/>
    <x v="1"/>
    <x v="1"/>
    <n v="20000"/>
    <n v="2"/>
    <x v="3"/>
    <s v="Clerical"/>
    <s v="Yes"/>
    <n v="2"/>
    <x v="2"/>
    <x v="1"/>
    <x v="42"/>
    <x v="1"/>
    <x v="0"/>
  </r>
  <r>
    <n v="20839"/>
    <x v="1"/>
    <x v="0"/>
    <n v="30000"/>
    <n v="3"/>
    <x v="4"/>
    <s v="Clerical"/>
    <s v="Yes"/>
    <n v="0"/>
    <x v="0"/>
    <x v="0"/>
    <x v="15"/>
    <x v="0"/>
    <x v="1"/>
  </r>
  <r>
    <n v="21738"/>
    <x v="0"/>
    <x v="1"/>
    <n v="20000"/>
    <n v="1"/>
    <x v="4"/>
    <s v="Clerical"/>
    <s v="Yes"/>
    <n v="0"/>
    <x v="0"/>
    <x v="0"/>
    <x v="1"/>
    <x v="0"/>
    <x v="0"/>
  </r>
  <r>
    <n v="14164"/>
    <x v="1"/>
    <x v="0"/>
    <n v="50000"/>
    <n v="0"/>
    <x v="4"/>
    <s v="Skilled Manual"/>
    <s v="Yes"/>
    <n v="0"/>
    <x v="0"/>
    <x v="0"/>
    <x v="4"/>
    <x v="0"/>
    <x v="1"/>
  </r>
  <r>
    <n v="14193"/>
    <x v="1"/>
    <x v="0"/>
    <n v="100000"/>
    <n v="3"/>
    <x v="1"/>
    <s v="Management"/>
    <s v="Yes"/>
    <n v="4"/>
    <x v="4"/>
    <x v="0"/>
    <x v="16"/>
    <x v="1"/>
    <x v="0"/>
  </r>
  <r>
    <n v="12705"/>
    <x v="0"/>
    <x v="1"/>
    <n v="150000"/>
    <n v="0"/>
    <x v="0"/>
    <s v="Management"/>
    <s v="Yes"/>
    <n v="4"/>
    <x v="0"/>
    <x v="1"/>
    <x v="34"/>
    <x v="0"/>
    <x v="1"/>
  </r>
  <r>
    <n v="22672"/>
    <x v="1"/>
    <x v="0"/>
    <n v="30000"/>
    <n v="2"/>
    <x v="1"/>
    <s v="Clerical"/>
    <s v="Yes"/>
    <n v="0"/>
    <x v="0"/>
    <x v="0"/>
    <x v="1"/>
    <x v="0"/>
    <x v="0"/>
  </r>
  <r>
    <n v="26219"/>
    <x v="0"/>
    <x v="0"/>
    <n v="40000"/>
    <n v="1"/>
    <x v="0"/>
    <s v="Skilled Manual"/>
    <s v="Yes"/>
    <n v="1"/>
    <x v="3"/>
    <x v="0"/>
    <x v="6"/>
    <x v="0"/>
    <x v="1"/>
  </r>
  <r>
    <n v="28468"/>
    <x v="0"/>
    <x v="0"/>
    <n v="10000"/>
    <n v="2"/>
    <x v="1"/>
    <s v="Manual"/>
    <s v="Yes"/>
    <n v="0"/>
    <x v="3"/>
    <x v="0"/>
    <x v="36"/>
    <x v="1"/>
    <x v="0"/>
  </r>
  <r>
    <n v="23419"/>
    <x v="1"/>
    <x v="0"/>
    <n v="70000"/>
    <n v="5"/>
    <x v="0"/>
    <s v="Professional"/>
    <s v="Yes"/>
    <n v="3"/>
    <x v="4"/>
    <x v="1"/>
    <x v="32"/>
    <x v="0"/>
    <x v="0"/>
  </r>
  <r>
    <n v="17964"/>
    <x v="0"/>
    <x v="1"/>
    <n v="40000"/>
    <n v="0"/>
    <x v="4"/>
    <s v="Clerical"/>
    <s v="Yes"/>
    <n v="0"/>
    <x v="0"/>
    <x v="0"/>
    <x v="34"/>
    <x v="0"/>
    <x v="1"/>
  </r>
  <r>
    <n v="20919"/>
    <x v="1"/>
    <x v="0"/>
    <n v="30000"/>
    <n v="2"/>
    <x v="1"/>
    <s v="Clerical"/>
    <s v="Yes"/>
    <n v="2"/>
    <x v="0"/>
    <x v="0"/>
    <x v="0"/>
    <x v="0"/>
    <x v="0"/>
  </r>
  <r>
    <n v="20927"/>
    <x v="1"/>
    <x v="0"/>
    <n v="20000"/>
    <n v="5"/>
    <x v="2"/>
    <s v="Manual"/>
    <s v="Yes"/>
    <n v="2"/>
    <x v="0"/>
    <x v="0"/>
    <x v="40"/>
    <x v="0"/>
    <x v="0"/>
  </r>
  <r>
    <n v="13133"/>
    <x v="1"/>
    <x v="1"/>
    <n v="100000"/>
    <n v="5"/>
    <x v="0"/>
    <s v="Professional"/>
    <s v="Yes"/>
    <n v="1"/>
    <x v="2"/>
    <x v="1"/>
    <x v="15"/>
    <x v="0"/>
    <x v="1"/>
  </r>
  <r>
    <n v="19626"/>
    <x v="0"/>
    <x v="1"/>
    <n v="70000"/>
    <n v="5"/>
    <x v="1"/>
    <s v="Skilled Manual"/>
    <s v="Yes"/>
    <n v="3"/>
    <x v="2"/>
    <x v="1"/>
    <x v="12"/>
    <x v="0"/>
    <x v="0"/>
  </r>
  <r>
    <n v="21039"/>
    <x v="1"/>
    <x v="0"/>
    <n v="50000"/>
    <n v="0"/>
    <x v="4"/>
    <s v="Skilled Manual"/>
    <s v="No"/>
    <n v="0"/>
    <x v="0"/>
    <x v="0"/>
    <x v="34"/>
    <x v="0"/>
    <x v="1"/>
  </r>
  <r>
    <n v="12231"/>
    <x v="1"/>
    <x v="0"/>
    <n v="10000"/>
    <n v="2"/>
    <x v="1"/>
    <s v="Manual"/>
    <s v="Yes"/>
    <n v="0"/>
    <x v="0"/>
    <x v="0"/>
    <x v="36"/>
    <x v="1"/>
    <x v="1"/>
  </r>
  <r>
    <n v="25665"/>
    <x v="1"/>
    <x v="0"/>
    <n v="20000"/>
    <n v="0"/>
    <x v="2"/>
    <s v="Manual"/>
    <s v="No"/>
    <n v="1"/>
    <x v="3"/>
    <x v="0"/>
    <x v="26"/>
    <x v="0"/>
    <x v="0"/>
  </r>
  <r>
    <n v="24061"/>
    <x v="0"/>
    <x v="1"/>
    <n v="10000"/>
    <n v="4"/>
    <x v="3"/>
    <s v="Manual"/>
    <s v="Yes"/>
    <n v="1"/>
    <x v="0"/>
    <x v="0"/>
    <x v="8"/>
    <x v="0"/>
    <x v="1"/>
  </r>
  <r>
    <n v="26879"/>
    <x v="1"/>
    <x v="0"/>
    <n v="20000"/>
    <n v="0"/>
    <x v="2"/>
    <s v="Manual"/>
    <s v="No"/>
    <n v="1"/>
    <x v="1"/>
    <x v="0"/>
    <x v="25"/>
    <x v="0"/>
    <x v="0"/>
  </r>
  <r>
    <n v="12284"/>
    <x v="0"/>
    <x v="0"/>
    <n v="30000"/>
    <n v="0"/>
    <x v="0"/>
    <s v="Clerical"/>
    <s v="No"/>
    <n v="0"/>
    <x v="0"/>
    <x v="0"/>
    <x v="4"/>
    <x v="0"/>
    <x v="1"/>
  </r>
  <r>
    <n v="26654"/>
    <x v="0"/>
    <x v="0"/>
    <n v="90000"/>
    <n v="1"/>
    <x v="4"/>
    <s v="Management"/>
    <s v="Yes"/>
    <n v="0"/>
    <x v="0"/>
    <x v="1"/>
    <x v="34"/>
    <x v="0"/>
    <x v="1"/>
  </r>
  <r>
    <n v="14545"/>
    <x v="0"/>
    <x v="0"/>
    <n v="10000"/>
    <n v="2"/>
    <x v="1"/>
    <s v="Manual"/>
    <s v="Yes"/>
    <n v="0"/>
    <x v="3"/>
    <x v="0"/>
    <x v="38"/>
    <x v="0"/>
    <x v="0"/>
  </r>
  <r>
    <n v="24201"/>
    <x v="0"/>
    <x v="0"/>
    <n v="10000"/>
    <n v="2"/>
    <x v="2"/>
    <s v="Manual"/>
    <s v="Yes"/>
    <n v="0"/>
    <x v="0"/>
    <x v="0"/>
    <x v="34"/>
    <x v="0"/>
    <x v="1"/>
  </r>
  <r>
    <n v="20625"/>
    <x v="0"/>
    <x v="1"/>
    <n v="100000"/>
    <n v="0"/>
    <x v="2"/>
    <s v="Management"/>
    <s v="Yes"/>
    <n v="3"/>
    <x v="4"/>
    <x v="1"/>
    <x v="11"/>
    <x v="0"/>
    <x v="1"/>
  </r>
  <r>
    <n v="16390"/>
    <x v="1"/>
    <x v="1"/>
    <n v="30000"/>
    <n v="1"/>
    <x v="0"/>
    <s v="Clerical"/>
    <s v="No"/>
    <n v="0"/>
    <x v="0"/>
    <x v="0"/>
    <x v="13"/>
    <x v="0"/>
    <x v="1"/>
  </r>
  <r>
    <n v="14804"/>
    <x v="1"/>
    <x v="0"/>
    <n v="10000"/>
    <n v="3"/>
    <x v="3"/>
    <s v="Manual"/>
    <s v="Yes"/>
    <n v="2"/>
    <x v="0"/>
    <x v="0"/>
    <x v="1"/>
    <x v="0"/>
    <x v="0"/>
  </r>
  <r>
    <n v="12629"/>
    <x v="1"/>
    <x v="1"/>
    <n v="20000"/>
    <n v="1"/>
    <x v="1"/>
    <s v="Manual"/>
    <s v="No"/>
    <n v="0"/>
    <x v="0"/>
    <x v="0"/>
    <x v="34"/>
    <x v="0"/>
    <x v="0"/>
  </r>
  <r>
    <n v="14696"/>
    <x v="1"/>
    <x v="1"/>
    <n v="10000"/>
    <n v="0"/>
    <x v="3"/>
    <s v="Manual"/>
    <s v="No"/>
    <n v="2"/>
    <x v="0"/>
    <x v="0"/>
    <x v="17"/>
    <x v="0"/>
    <x v="0"/>
  </r>
  <r>
    <n v="22005"/>
    <x v="0"/>
    <x v="0"/>
    <n v="70000"/>
    <n v="5"/>
    <x v="1"/>
    <s v="Skilled Manual"/>
    <s v="No"/>
    <n v="3"/>
    <x v="2"/>
    <x v="1"/>
    <x v="30"/>
    <x v="0"/>
    <x v="0"/>
  </r>
  <r>
    <n v="14544"/>
    <x v="1"/>
    <x v="1"/>
    <n v="10000"/>
    <n v="1"/>
    <x v="1"/>
    <s v="Manual"/>
    <s v="Yes"/>
    <n v="0"/>
    <x v="0"/>
    <x v="0"/>
    <x v="38"/>
    <x v="0"/>
    <x v="0"/>
  </r>
  <r>
    <n v="14312"/>
    <x v="0"/>
    <x v="0"/>
    <n v="60000"/>
    <n v="1"/>
    <x v="1"/>
    <s v="Skilled Manual"/>
    <s v="Yes"/>
    <n v="1"/>
    <x v="2"/>
    <x v="1"/>
    <x v="12"/>
    <x v="0"/>
    <x v="0"/>
  </r>
  <r>
    <n v="29120"/>
    <x v="1"/>
    <x v="0"/>
    <n v="100000"/>
    <n v="1"/>
    <x v="0"/>
    <s v="Management"/>
    <s v="Yes"/>
    <n v="4"/>
    <x v="1"/>
    <x v="1"/>
    <x v="28"/>
    <x v="0"/>
    <x v="0"/>
  </r>
  <r>
    <n v="24187"/>
    <x v="1"/>
    <x v="0"/>
    <n v="30000"/>
    <n v="3"/>
    <x v="4"/>
    <s v="Clerical"/>
    <s v="No"/>
    <n v="0"/>
    <x v="0"/>
    <x v="0"/>
    <x v="30"/>
    <x v="0"/>
    <x v="1"/>
  </r>
  <r>
    <n v="15758"/>
    <x v="0"/>
    <x v="1"/>
    <n v="130000"/>
    <n v="0"/>
    <x v="4"/>
    <s v="Management"/>
    <s v="Yes"/>
    <n v="0"/>
    <x v="2"/>
    <x v="1"/>
    <x v="28"/>
    <x v="0"/>
    <x v="0"/>
  </r>
  <r>
    <n v="29094"/>
    <x v="0"/>
    <x v="1"/>
    <n v="30000"/>
    <n v="3"/>
    <x v="2"/>
    <s v="Skilled Manual"/>
    <s v="Yes"/>
    <n v="2"/>
    <x v="2"/>
    <x v="1"/>
    <x v="9"/>
    <x v="1"/>
    <x v="1"/>
  </r>
  <r>
    <n v="28319"/>
    <x v="1"/>
    <x v="0"/>
    <n v="60000"/>
    <n v="1"/>
    <x v="1"/>
    <s v="Skilled Manual"/>
    <s v="No"/>
    <n v="1"/>
    <x v="0"/>
    <x v="1"/>
    <x v="30"/>
    <x v="0"/>
    <x v="1"/>
  </r>
  <r>
    <n v="16406"/>
    <x v="0"/>
    <x v="1"/>
    <n v="40000"/>
    <n v="0"/>
    <x v="0"/>
    <s v="Clerical"/>
    <s v="No"/>
    <n v="0"/>
    <x v="0"/>
    <x v="0"/>
    <x v="13"/>
    <x v="0"/>
    <x v="1"/>
  </r>
  <r>
    <n v="20923"/>
    <x v="0"/>
    <x v="0"/>
    <n v="40000"/>
    <n v="1"/>
    <x v="0"/>
    <s v="Skilled Manual"/>
    <s v="Yes"/>
    <n v="0"/>
    <x v="0"/>
    <x v="0"/>
    <x v="0"/>
    <x v="0"/>
    <x v="1"/>
  </r>
  <r>
    <n v="11378"/>
    <x v="1"/>
    <x v="0"/>
    <n v="10000"/>
    <n v="1"/>
    <x v="2"/>
    <s v="Manual"/>
    <s v="No"/>
    <n v="1"/>
    <x v="1"/>
    <x v="0"/>
    <x v="30"/>
    <x v="0"/>
    <x v="1"/>
  </r>
  <r>
    <n v="20851"/>
    <x v="1"/>
    <x v="1"/>
    <n v="20000"/>
    <n v="0"/>
    <x v="1"/>
    <s v="Manual"/>
    <s v="No"/>
    <n v="1"/>
    <x v="1"/>
    <x v="0"/>
    <x v="4"/>
    <x v="0"/>
    <x v="1"/>
  </r>
  <r>
    <n v="21557"/>
    <x v="1"/>
    <x v="0"/>
    <n v="110000"/>
    <n v="0"/>
    <x v="1"/>
    <s v="Management"/>
    <s v="Yes"/>
    <n v="3"/>
    <x v="4"/>
    <x v="1"/>
    <x v="21"/>
    <x v="0"/>
    <x v="1"/>
  </r>
  <r>
    <n v="26663"/>
    <x v="1"/>
    <x v="0"/>
    <n v="60000"/>
    <n v="2"/>
    <x v="0"/>
    <s v="Professional"/>
    <s v="No"/>
    <n v="1"/>
    <x v="0"/>
    <x v="1"/>
    <x v="32"/>
    <x v="0"/>
    <x v="1"/>
  </r>
  <r>
    <n v="11896"/>
    <x v="0"/>
    <x v="1"/>
    <n v="100000"/>
    <n v="1"/>
    <x v="4"/>
    <s v="Management"/>
    <s v="Yes"/>
    <n v="0"/>
    <x v="1"/>
    <x v="1"/>
    <x v="4"/>
    <x v="0"/>
    <x v="1"/>
  </r>
  <r>
    <n v="14189"/>
    <x v="0"/>
    <x v="0"/>
    <n v="90000"/>
    <n v="4"/>
    <x v="2"/>
    <s v="Professional"/>
    <s v="No"/>
    <n v="2"/>
    <x v="1"/>
    <x v="0"/>
    <x v="9"/>
    <x v="1"/>
    <x v="1"/>
  </r>
  <r>
    <n v="13136"/>
    <x v="0"/>
    <x v="0"/>
    <n v="30000"/>
    <n v="2"/>
    <x v="1"/>
    <s v="Clerical"/>
    <s v="No"/>
    <n v="2"/>
    <x v="2"/>
    <x v="1"/>
    <x v="45"/>
    <x v="1"/>
    <x v="0"/>
  </r>
  <r>
    <n v="25906"/>
    <x v="1"/>
    <x v="0"/>
    <n v="10000"/>
    <n v="5"/>
    <x v="2"/>
    <s v="Skilled Manual"/>
    <s v="No"/>
    <n v="2"/>
    <x v="3"/>
    <x v="1"/>
    <x v="24"/>
    <x v="1"/>
    <x v="0"/>
  </r>
  <r>
    <n v="17926"/>
    <x v="1"/>
    <x v="0"/>
    <n v="40000"/>
    <n v="0"/>
    <x v="0"/>
    <s v="Clerical"/>
    <s v="No"/>
    <n v="0"/>
    <x v="0"/>
    <x v="1"/>
    <x v="26"/>
    <x v="0"/>
    <x v="1"/>
  </r>
  <r>
    <n v="26928"/>
    <x v="1"/>
    <x v="1"/>
    <n v="30000"/>
    <n v="1"/>
    <x v="0"/>
    <s v="Clerical"/>
    <s v="Yes"/>
    <n v="0"/>
    <x v="0"/>
    <x v="0"/>
    <x v="24"/>
    <x v="1"/>
    <x v="1"/>
  </r>
  <r>
    <n v="20897"/>
    <x v="0"/>
    <x v="0"/>
    <n v="30000"/>
    <n v="1"/>
    <x v="0"/>
    <s v="Skilled Manual"/>
    <s v="Yes"/>
    <n v="2"/>
    <x v="0"/>
    <x v="0"/>
    <x v="8"/>
    <x v="0"/>
    <x v="0"/>
  </r>
  <r>
    <n v="28207"/>
    <x v="0"/>
    <x v="1"/>
    <n v="80000"/>
    <n v="4"/>
    <x v="4"/>
    <s v="Management"/>
    <s v="Yes"/>
    <n v="1"/>
    <x v="0"/>
    <x v="1"/>
    <x v="4"/>
    <x v="0"/>
    <x v="1"/>
  </r>
  <r>
    <n v="25923"/>
    <x v="1"/>
    <x v="1"/>
    <n v="10000"/>
    <n v="2"/>
    <x v="3"/>
    <s v="Clerical"/>
    <s v="Yes"/>
    <n v="2"/>
    <x v="2"/>
    <x v="1"/>
    <x v="7"/>
    <x v="1"/>
    <x v="0"/>
  </r>
  <r>
    <n v="11000"/>
    <x v="0"/>
    <x v="1"/>
    <n v="90000"/>
    <n v="2"/>
    <x v="0"/>
    <s v="Professional"/>
    <s v="Yes"/>
    <n v="0"/>
    <x v="3"/>
    <x v="1"/>
    <x v="8"/>
    <x v="0"/>
    <x v="1"/>
  </r>
  <r>
    <n v="20974"/>
    <x v="0"/>
    <x v="1"/>
    <n v="10000"/>
    <n v="2"/>
    <x v="0"/>
    <s v="Clerical"/>
    <s v="Yes"/>
    <n v="1"/>
    <x v="0"/>
    <x v="0"/>
    <x v="29"/>
    <x v="1"/>
    <x v="0"/>
  </r>
  <r>
    <n v="28758"/>
    <x v="0"/>
    <x v="1"/>
    <n v="40000"/>
    <n v="2"/>
    <x v="1"/>
    <s v="Clerical"/>
    <s v="Yes"/>
    <n v="1"/>
    <x v="3"/>
    <x v="0"/>
    <x v="11"/>
    <x v="0"/>
    <x v="1"/>
  </r>
  <r>
    <n v="11381"/>
    <x v="0"/>
    <x v="0"/>
    <n v="20000"/>
    <n v="2"/>
    <x v="1"/>
    <s v="Manual"/>
    <s v="Yes"/>
    <n v="1"/>
    <x v="1"/>
    <x v="0"/>
    <x v="15"/>
    <x v="0"/>
    <x v="1"/>
  </r>
  <r>
    <n v="17522"/>
    <x v="0"/>
    <x v="1"/>
    <n v="120000"/>
    <n v="4"/>
    <x v="0"/>
    <s v="Management"/>
    <s v="Yes"/>
    <n v="1"/>
    <x v="1"/>
    <x v="1"/>
    <x v="15"/>
    <x v="0"/>
    <x v="0"/>
  </r>
  <r>
    <n v="21207"/>
    <x v="0"/>
    <x v="1"/>
    <n v="60000"/>
    <n v="1"/>
    <x v="1"/>
    <s v="Skilled Manual"/>
    <s v="Yes"/>
    <n v="1"/>
    <x v="2"/>
    <x v="1"/>
    <x v="30"/>
    <x v="0"/>
    <x v="0"/>
  </r>
  <r>
    <n v="28102"/>
    <x v="0"/>
    <x v="1"/>
    <n v="20000"/>
    <n v="4"/>
    <x v="2"/>
    <s v="Skilled Manual"/>
    <s v="Yes"/>
    <n v="2"/>
    <x v="2"/>
    <x v="1"/>
    <x v="7"/>
    <x v="1"/>
    <x v="1"/>
  </r>
  <r>
    <n v="23105"/>
    <x v="1"/>
    <x v="1"/>
    <n v="40000"/>
    <n v="3"/>
    <x v="3"/>
    <s v="Clerical"/>
    <s v="No"/>
    <n v="2"/>
    <x v="2"/>
    <x v="1"/>
    <x v="31"/>
    <x v="1"/>
    <x v="1"/>
  </r>
  <r>
    <n v="18740"/>
    <x v="0"/>
    <x v="1"/>
    <n v="80000"/>
    <n v="5"/>
    <x v="0"/>
    <s v="Professional"/>
    <s v="No"/>
    <n v="1"/>
    <x v="0"/>
    <x v="1"/>
    <x v="15"/>
    <x v="0"/>
    <x v="1"/>
  </r>
  <r>
    <n v="21213"/>
    <x v="1"/>
    <x v="1"/>
    <n v="70000"/>
    <n v="0"/>
    <x v="0"/>
    <s v="Professional"/>
    <s v="No"/>
    <n v="1"/>
    <x v="2"/>
    <x v="1"/>
    <x v="3"/>
    <x v="0"/>
    <x v="0"/>
  </r>
  <r>
    <n v="17352"/>
    <x v="0"/>
    <x v="1"/>
    <n v="50000"/>
    <n v="2"/>
    <x v="4"/>
    <s v="Management"/>
    <s v="Yes"/>
    <n v="1"/>
    <x v="2"/>
    <x v="1"/>
    <x v="46"/>
    <x v="1"/>
    <x v="1"/>
  </r>
  <r>
    <n v="14154"/>
    <x v="0"/>
    <x v="1"/>
    <n v="30000"/>
    <n v="0"/>
    <x v="0"/>
    <s v="Clerical"/>
    <s v="Yes"/>
    <n v="0"/>
    <x v="0"/>
    <x v="0"/>
    <x v="11"/>
    <x v="0"/>
    <x v="1"/>
  </r>
  <r>
    <n v="19066"/>
    <x v="0"/>
    <x v="1"/>
    <n v="130000"/>
    <n v="4"/>
    <x v="1"/>
    <s v="Professional"/>
    <s v="No"/>
    <n v="3"/>
    <x v="4"/>
    <x v="0"/>
    <x v="9"/>
    <x v="1"/>
    <x v="0"/>
  </r>
  <r>
    <n v="11386"/>
    <x v="0"/>
    <x v="0"/>
    <n v="30000"/>
    <n v="3"/>
    <x v="0"/>
    <s v="Clerical"/>
    <s v="Yes"/>
    <n v="0"/>
    <x v="0"/>
    <x v="0"/>
    <x v="12"/>
    <x v="0"/>
    <x v="0"/>
  </r>
  <r>
    <n v="20228"/>
    <x v="0"/>
    <x v="1"/>
    <n v="100000"/>
    <n v="0"/>
    <x v="4"/>
    <s v="Management"/>
    <s v="Yes"/>
    <n v="0"/>
    <x v="1"/>
    <x v="1"/>
    <x v="8"/>
    <x v="0"/>
    <x v="1"/>
  </r>
  <r>
    <n v="16675"/>
    <x v="1"/>
    <x v="0"/>
    <n v="160000"/>
    <n v="0"/>
    <x v="4"/>
    <s v="Management"/>
    <s v="No"/>
    <n v="3"/>
    <x v="0"/>
    <x v="1"/>
    <x v="15"/>
    <x v="0"/>
    <x v="1"/>
  </r>
  <r>
    <n v="16410"/>
    <x v="1"/>
    <x v="0"/>
    <n v="10000"/>
    <n v="4"/>
    <x v="3"/>
    <s v="Manual"/>
    <s v="Yes"/>
    <n v="2"/>
    <x v="0"/>
    <x v="0"/>
    <x v="3"/>
    <x v="0"/>
    <x v="1"/>
  </r>
  <r>
    <n v="27760"/>
    <x v="1"/>
    <x v="0"/>
    <n v="40000"/>
    <n v="0"/>
    <x v="4"/>
    <s v="Clerical"/>
    <s v="No"/>
    <n v="0"/>
    <x v="0"/>
    <x v="0"/>
    <x v="34"/>
    <x v="0"/>
    <x v="1"/>
  </r>
  <r>
    <n v="22930"/>
    <x v="0"/>
    <x v="1"/>
    <n v="90000"/>
    <n v="4"/>
    <x v="0"/>
    <s v="Professional"/>
    <s v="Yes"/>
    <n v="0"/>
    <x v="3"/>
    <x v="1"/>
    <x v="13"/>
    <x v="0"/>
    <x v="1"/>
  </r>
  <r>
    <n v="23780"/>
    <x v="1"/>
    <x v="1"/>
    <n v="40000"/>
    <n v="2"/>
    <x v="1"/>
    <s v="Clerical"/>
    <s v="No"/>
    <n v="2"/>
    <x v="0"/>
    <x v="0"/>
    <x v="4"/>
    <x v="0"/>
    <x v="1"/>
  </r>
  <r>
    <n v="20994"/>
    <x v="0"/>
    <x v="0"/>
    <n v="20000"/>
    <n v="0"/>
    <x v="0"/>
    <s v="Clerical"/>
    <s v="No"/>
    <n v="0"/>
    <x v="0"/>
    <x v="1"/>
    <x v="22"/>
    <x v="0"/>
    <x v="1"/>
  </r>
  <r>
    <n v="28379"/>
    <x v="0"/>
    <x v="1"/>
    <n v="30000"/>
    <n v="1"/>
    <x v="0"/>
    <s v="Skilled Manual"/>
    <s v="Yes"/>
    <n v="2"/>
    <x v="0"/>
    <x v="0"/>
    <x v="8"/>
    <x v="0"/>
    <x v="0"/>
  </r>
  <r>
    <n v="14865"/>
    <x v="1"/>
    <x v="1"/>
    <n v="40000"/>
    <n v="2"/>
    <x v="1"/>
    <s v="Clerical"/>
    <s v="Yes"/>
    <n v="2"/>
    <x v="3"/>
    <x v="0"/>
    <x v="4"/>
    <x v="0"/>
    <x v="0"/>
  </r>
  <r>
    <n v="12663"/>
    <x v="0"/>
    <x v="0"/>
    <n v="90000"/>
    <n v="5"/>
    <x v="3"/>
    <s v="Skilled Manual"/>
    <s v="Yes"/>
    <n v="2"/>
    <x v="4"/>
    <x v="0"/>
    <x v="14"/>
    <x v="1"/>
    <x v="0"/>
  </r>
  <r>
    <n v="24898"/>
    <x v="1"/>
    <x v="0"/>
    <n v="80000"/>
    <n v="0"/>
    <x v="0"/>
    <s v="Professional"/>
    <s v="Yes"/>
    <n v="3"/>
    <x v="4"/>
    <x v="1"/>
    <x v="21"/>
    <x v="0"/>
    <x v="0"/>
  </r>
  <r>
    <n v="19508"/>
    <x v="0"/>
    <x v="1"/>
    <n v="10000"/>
    <n v="0"/>
    <x v="3"/>
    <s v="Manual"/>
    <s v="No"/>
    <n v="2"/>
    <x v="0"/>
    <x v="0"/>
    <x v="25"/>
    <x v="0"/>
    <x v="0"/>
  </r>
  <r>
    <n v="11489"/>
    <x v="1"/>
    <x v="0"/>
    <n v="20000"/>
    <n v="0"/>
    <x v="3"/>
    <s v="Manual"/>
    <s v="No"/>
    <n v="2"/>
    <x v="3"/>
    <x v="0"/>
    <x v="11"/>
    <x v="0"/>
    <x v="1"/>
  </r>
  <r>
    <n v="18160"/>
    <x v="0"/>
    <x v="1"/>
    <n v="130000"/>
    <n v="3"/>
    <x v="2"/>
    <s v="Professional"/>
    <s v="Yes"/>
    <n v="4"/>
    <x v="2"/>
    <x v="0"/>
    <x v="36"/>
    <x v="1"/>
    <x v="1"/>
  </r>
  <r>
    <n v="25241"/>
    <x v="0"/>
    <x v="1"/>
    <n v="90000"/>
    <n v="2"/>
    <x v="0"/>
    <s v="Professional"/>
    <s v="Yes"/>
    <n v="1"/>
    <x v="2"/>
    <x v="1"/>
    <x v="15"/>
    <x v="0"/>
    <x v="0"/>
  </r>
  <r>
    <n v="24369"/>
    <x v="0"/>
    <x v="1"/>
    <n v="80000"/>
    <n v="5"/>
    <x v="4"/>
    <s v="Management"/>
    <s v="No"/>
    <n v="2"/>
    <x v="0"/>
    <x v="1"/>
    <x v="32"/>
    <x v="0"/>
    <x v="0"/>
  </r>
  <r>
    <n v="27165"/>
    <x v="1"/>
    <x v="1"/>
    <n v="20000"/>
    <n v="0"/>
    <x v="3"/>
    <s v="Manual"/>
    <s v="No"/>
    <n v="2"/>
    <x v="0"/>
    <x v="0"/>
    <x v="17"/>
    <x v="0"/>
    <x v="0"/>
  </r>
  <r>
    <n v="29424"/>
    <x v="0"/>
    <x v="1"/>
    <n v="10000"/>
    <n v="0"/>
    <x v="3"/>
    <s v="Manual"/>
    <s v="Yes"/>
    <n v="2"/>
    <x v="0"/>
    <x v="0"/>
    <x v="21"/>
    <x v="0"/>
    <x v="0"/>
  </r>
  <r>
    <n v="15926"/>
    <x v="1"/>
    <x v="0"/>
    <n v="120000"/>
    <n v="3"/>
    <x v="2"/>
    <s v="Professional"/>
    <s v="Yes"/>
    <n v="4"/>
    <x v="2"/>
    <x v="0"/>
    <x v="5"/>
    <x v="1"/>
    <x v="1"/>
  </r>
  <r>
    <n v="14554"/>
    <x v="0"/>
    <x v="1"/>
    <n v="20000"/>
    <n v="1"/>
    <x v="0"/>
    <s v="Clerical"/>
    <s v="Yes"/>
    <n v="0"/>
    <x v="0"/>
    <x v="0"/>
    <x v="29"/>
    <x v="1"/>
    <x v="0"/>
  </r>
  <r>
    <n v="16468"/>
    <x v="1"/>
    <x v="1"/>
    <n v="30000"/>
    <n v="0"/>
    <x v="1"/>
    <s v="Clerical"/>
    <s v="Yes"/>
    <n v="1"/>
    <x v="1"/>
    <x v="0"/>
    <x v="25"/>
    <x v="0"/>
    <x v="0"/>
  </r>
  <r>
    <n v="19174"/>
    <x v="1"/>
    <x v="0"/>
    <n v="30000"/>
    <n v="0"/>
    <x v="2"/>
    <s v="Manual"/>
    <s v="No"/>
    <n v="1"/>
    <x v="1"/>
    <x v="0"/>
    <x v="21"/>
    <x v="0"/>
    <x v="1"/>
  </r>
  <r>
    <n v="19183"/>
    <x v="1"/>
    <x v="1"/>
    <n v="10000"/>
    <n v="0"/>
    <x v="3"/>
    <s v="Manual"/>
    <s v="Yes"/>
    <n v="2"/>
    <x v="3"/>
    <x v="0"/>
    <x v="11"/>
    <x v="0"/>
    <x v="0"/>
  </r>
  <r>
    <n v="13683"/>
    <x v="1"/>
    <x v="0"/>
    <n v="30000"/>
    <n v="0"/>
    <x v="2"/>
    <s v="Manual"/>
    <s v="No"/>
    <n v="1"/>
    <x v="1"/>
    <x v="0"/>
    <x v="21"/>
    <x v="0"/>
    <x v="0"/>
  </r>
  <r>
    <n v="17848"/>
    <x v="1"/>
    <x v="1"/>
    <n v="30000"/>
    <n v="0"/>
    <x v="1"/>
    <s v="Clerical"/>
    <s v="No"/>
    <n v="1"/>
    <x v="1"/>
    <x v="0"/>
    <x v="23"/>
    <x v="0"/>
    <x v="1"/>
  </r>
  <r>
    <n v="17894"/>
    <x v="0"/>
    <x v="0"/>
    <n v="20000"/>
    <n v="1"/>
    <x v="0"/>
    <s v="Clerical"/>
    <s v="Yes"/>
    <n v="0"/>
    <x v="0"/>
    <x v="0"/>
    <x v="5"/>
    <x v="1"/>
    <x v="1"/>
  </r>
  <r>
    <n v="25651"/>
    <x v="0"/>
    <x v="1"/>
    <n v="40000"/>
    <n v="1"/>
    <x v="0"/>
    <s v="Skilled Manual"/>
    <s v="No"/>
    <n v="0"/>
    <x v="0"/>
    <x v="0"/>
    <x v="1"/>
    <x v="0"/>
    <x v="1"/>
  </r>
  <r>
    <n v="22936"/>
    <x v="1"/>
    <x v="0"/>
    <n v="60000"/>
    <n v="1"/>
    <x v="1"/>
    <s v="Skilled Manual"/>
    <s v="No"/>
    <n v="1"/>
    <x v="0"/>
    <x v="1"/>
    <x v="12"/>
    <x v="0"/>
    <x v="1"/>
  </r>
  <r>
    <n v="23915"/>
    <x v="0"/>
    <x v="1"/>
    <n v="20000"/>
    <n v="2"/>
    <x v="2"/>
    <s v="Manual"/>
    <s v="Yes"/>
    <n v="2"/>
    <x v="0"/>
    <x v="0"/>
    <x v="0"/>
    <x v="0"/>
    <x v="0"/>
  </r>
  <r>
    <n v="24121"/>
    <x v="1"/>
    <x v="0"/>
    <n v="30000"/>
    <n v="0"/>
    <x v="1"/>
    <s v="Clerical"/>
    <s v="No"/>
    <n v="1"/>
    <x v="0"/>
    <x v="0"/>
    <x v="19"/>
    <x v="0"/>
    <x v="1"/>
  </r>
  <r>
    <n v="27878"/>
    <x v="1"/>
    <x v="1"/>
    <n v="20000"/>
    <n v="0"/>
    <x v="1"/>
    <s v="Manual"/>
    <s v="No"/>
    <n v="0"/>
    <x v="0"/>
    <x v="1"/>
    <x v="26"/>
    <x v="0"/>
    <x v="1"/>
  </r>
  <r>
    <n v="13572"/>
    <x v="1"/>
    <x v="1"/>
    <n v="10000"/>
    <n v="3"/>
    <x v="2"/>
    <s v="Manual"/>
    <s v="Yes"/>
    <n v="0"/>
    <x v="0"/>
    <x v="0"/>
    <x v="34"/>
    <x v="0"/>
    <x v="1"/>
  </r>
  <r>
    <n v="27941"/>
    <x v="0"/>
    <x v="0"/>
    <n v="80000"/>
    <n v="4"/>
    <x v="1"/>
    <s v="Professional"/>
    <s v="Yes"/>
    <n v="2"/>
    <x v="1"/>
    <x v="0"/>
    <x v="39"/>
    <x v="1"/>
    <x v="0"/>
  </r>
  <r>
    <n v="26354"/>
    <x v="1"/>
    <x v="1"/>
    <n v="40000"/>
    <n v="0"/>
    <x v="4"/>
    <s v="Clerical"/>
    <s v="No"/>
    <n v="0"/>
    <x v="0"/>
    <x v="0"/>
    <x v="13"/>
    <x v="0"/>
    <x v="1"/>
  </r>
  <r>
    <n v="14785"/>
    <x v="1"/>
    <x v="1"/>
    <n v="30000"/>
    <n v="1"/>
    <x v="0"/>
    <s v="Clerical"/>
    <s v="No"/>
    <n v="1"/>
    <x v="3"/>
    <x v="0"/>
    <x v="32"/>
    <x v="0"/>
    <x v="0"/>
  </r>
  <r>
    <n v="17238"/>
    <x v="1"/>
    <x v="1"/>
    <n v="80000"/>
    <n v="0"/>
    <x v="0"/>
    <s v="Professional"/>
    <s v="Yes"/>
    <n v="3"/>
    <x v="4"/>
    <x v="1"/>
    <x v="21"/>
    <x v="0"/>
    <x v="0"/>
  </r>
  <r>
    <n v="23608"/>
    <x v="0"/>
    <x v="0"/>
    <n v="150000"/>
    <n v="3"/>
    <x v="2"/>
    <s v="Professional"/>
    <s v="Yes"/>
    <n v="3"/>
    <x v="0"/>
    <x v="0"/>
    <x v="36"/>
    <x v="1"/>
    <x v="1"/>
  </r>
  <r>
    <n v="22538"/>
    <x v="1"/>
    <x v="0"/>
    <n v="10000"/>
    <n v="0"/>
    <x v="3"/>
    <s v="Manual"/>
    <s v="Yes"/>
    <n v="2"/>
    <x v="3"/>
    <x v="0"/>
    <x v="6"/>
    <x v="0"/>
    <x v="0"/>
  </r>
  <r>
    <n v="12332"/>
    <x v="0"/>
    <x v="1"/>
    <n v="90000"/>
    <n v="4"/>
    <x v="2"/>
    <s v="Management"/>
    <s v="Yes"/>
    <n v="3"/>
    <x v="2"/>
    <x v="0"/>
    <x v="7"/>
    <x v="1"/>
    <x v="1"/>
  </r>
  <r>
    <n v="17230"/>
    <x v="0"/>
    <x v="1"/>
    <n v="80000"/>
    <n v="0"/>
    <x v="0"/>
    <s v="Professional"/>
    <s v="Yes"/>
    <n v="3"/>
    <x v="4"/>
    <x v="1"/>
    <x v="25"/>
    <x v="0"/>
    <x v="0"/>
  </r>
  <r>
    <n v="13082"/>
    <x v="1"/>
    <x v="1"/>
    <n v="130000"/>
    <n v="0"/>
    <x v="4"/>
    <s v="Management"/>
    <s v="Yes"/>
    <n v="0"/>
    <x v="1"/>
    <x v="1"/>
    <x v="28"/>
    <x v="0"/>
    <x v="1"/>
  </r>
  <r>
    <n v="22518"/>
    <x v="1"/>
    <x v="0"/>
    <n v="30000"/>
    <n v="3"/>
    <x v="1"/>
    <s v="Clerical"/>
    <s v="No"/>
    <n v="2"/>
    <x v="0"/>
    <x v="0"/>
    <x v="40"/>
    <x v="0"/>
    <x v="1"/>
  </r>
  <r>
    <n v="13687"/>
    <x v="0"/>
    <x v="1"/>
    <n v="40000"/>
    <n v="1"/>
    <x v="0"/>
    <s v="Skilled Manual"/>
    <s v="Yes"/>
    <n v="1"/>
    <x v="0"/>
    <x v="0"/>
    <x v="6"/>
    <x v="0"/>
    <x v="1"/>
  </r>
  <r>
    <n v="23571"/>
    <x v="0"/>
    <x v="0"/>
    <n v="40000"/>
    <n v="2"/>
    <x v="0"/>
    <s v="Management"/>
    <s v="Yes"/>
    <n v="2"/>
    <x v="0"/>
    <x v="1"/>
    <x v="29"/>
    <x v="1"/>
    <x v="1"/>
  </r>
  <r>
    <n v="19305"/>
    <x v="1"/>
    <x v="0"/>
    <n v="10000"/>
    <n v="2"/>
    <x v="2"/>
    <s v="Manual"/>
    <s v="Yes"/>
    <n v="1"/>
    <x v="0"/>
    <x v="0"/>
    <x v="13"/>
    <x v="0"/>
    <x v="1"/>
  </r>
  <r>
    <n v="22636"/>
    <x v="1"/>
    <x v="0"/>
    <n v="40000"/>
    <n v="0"/>
    <x v="0"/>
    <s v="Clerical"/>
    <s v="No"/>
    <n v="0"/>
    <x v="0"/>
    <x v="0"/>
    <x v="13"/>
    <x v="0"/>
    <x v="1"/>
  </r>
  <r>
    <n v="17310"/>
    <x v="0"/>
    <x v="1"/>
    <n v="60000"/>
    <n v="1"/>
    <x v="1"/>
    <s v="Skilled Manual"/>
    <s v="Yes"/>
    <n v="1"/>
    <x v="0"/>
    <x v="1"/>
    <x v="12"/>
    <x v="0"/>
    <x v="1"/>
  </r>
  <r>
    <n v="12133"/>
    <x v="0"/>
    <x v="0"/>
    <n v="130000"/>
    <n v="3"/>
    <x v="1"/>
    <s v="Professional"/>
    <s v="Yes"/>
    <n v="3"/>
    <x v="2"/>
    <x v="0"/>
    <x v="5"/>
    <x v="1"/>
    <x v="1"/>
  </r>
  <r>
    <n v="25918"/>
    <x v="1"/>
    <x v="0"/>
    <n v="30000"/>
    <n v="2"/>
    <x v="1"/>
    <s v="Clerical"/>
    <s v="No"/>
    <n v="2"/>
    <x v="2"/>
    <x v="1"/>
    <x v="2"/>
    <x v="1"/>
    <x v="1"/>
  </r>
  <r>
    <n v="25752"/>
    <x v="1"/>
    <x v="0"/>
    <n v="20000"/>
    <n v="2"/>
    <x v="1"/>
    <s v="Manual"/>
    <s v="No"/>
    <n v="1"/>
    <x v="0"/>
    <x v="0"/>
    <x v="39"/>
    <x v="1"/>
    <x v="1"/>
  </r>
  <r>
    <n v="17324"/>
    <x v="0"/>
    <x v="0"/>
    <n v="100000"/>
    <n v="4"/>
    <x v="0"/>
    <s v="Professional"/>
    <s v="Yes"/>
    <n v="1"/>
    <x v="4"/>
    <x v="1"/>
    <x v="30"/>
    <x v="0"/>
    <x v="0"/>
  </r>
  <r>
    <n v="22918"/>
    <x v="1"/>
    <x v="1"/>
    <n v="80000"/>
    <n v="5"/>
    <x v="4"/>
    <s v="Management"/>
    <s v="Yes"/>
    <n v="3"/>
    <x v="0"/>
    <x v="1"/>
    <x v="5"/>
    <x v="1"/>
    <x v="0"/>
  </r>
  <r>
    <n v="12510"/>
    <x v="0"/>
    <x v="1"/>
    <n v="40000"/>
    <n v="1"/>
    <x v="0"/>
    <s v="Skilled Manual"/>
    <s v="Yes"/>
    <n v="1"/>
    <x v="0"/>
    <x v="0"/>
    <x v="1"/>
    <x v="0"/>
    <x v="1"/>
  </r>
  <r>
    <n v="25512"/>
    <x v="1"/>
    <x v="1"/>
    <n v="20000"/>
    <n v="0"/>
    <x v="2"/>
    <s v="Manual"/>
    <s v="No"/>
    <n v="1"/>
    <x v="1"/>
    <x v="0"/>
    <x v="25"/>
    <x v="0"/>
    <x v="0"/>
  </r>
  <r>
    <n v="16179"/>
    <x v="1"/>
    <x v="0"/>
    <n v="80000"/>
    <n v="5"/>
    <x v="0"/>
    <s v="Professional"/>
    <s v="Yes"/>
    <n v="4"/>
    <x v="3"/>
    <x v="1"/>
    <x v="13"/>
    <x v="0"/>
    <x v="0"/>
  </r>
  <r>
    <n v="15628"/>
    <x v="0"/>
    <x v="0"/>
    <n v="40000"/>
    <n v="1"/>
    <x v="0"/>
    <s v="Skilled Manual"/>
    <s v="Yes"/>
    <n v="1"/>
    <x v="0"/>
    <x v="0"/>
    <x v="47"/>
    <x v="1"/>
    <x v="0"/>
  </r>
  <r>
    <n v="20977"/>
    <x v="0"/>
    <x v="1"/>
    <n v="20000"/>
    <n v="1"/>
    <x v="0"/>
    <s v="Clerical"/>
    <s v="Yes"/>
    <n v="0"/>
    <x v="0"/>
    <x v="0"/>
    <x v="46"/>
    <x v="1"/>
    <x v="1"/>
  </r>
  <r>
    <n v="18140"/>
    <x v="0"/>
    <x v="1"/>
    <n v="130000"/>
    <n v="3"/>
    <x v="1"/>
    <s v="Professional"/>
    <s v="No"/>
    <n v="3"/>
    <x v="2"/>
    <x v="0"/>
    <x v="36"/>
    <x v="1"/>
    <x v="1"/>
  </r>
  <r>
    <n v="20417"/>
    <x v="0"/>
    <x v="1"/>
    <n v="30000"/>
    <n v="3"/>
    <x v="1"/>
    <s v="Clerical"/>
    <s v="No"/>
    <n v="2"/>
    <x v="2"/>
    <x v="1"/>
    <x v="16"/>
    <x v="1"/>
    <x v="0"/>
  </r>
  <r>
    <n v="18267"/>
    <x v="0"/>
    <x v="1"/>
    <n v="60000"/>
    <n v="3"/>
    <x v="0"/>
    <s v="Professional"/>
    <s v="Yes"/>
    <n v="2"/>
    <x v="2"/>
    <x v="1"/>
    <x v="1"/>
    <x v="0"/>
    <x v="0"/>
  </r>
  <r>
    <n v="13620"/>
    <x v="1"/>
    <x v="1"/>
    <n v="70000"/>
    <n v="0"/>
    <x v="0"/>
    <s v="Professional"/>
    <s v="No"/>
    <n v="3"/>
    <x v="4"/>
    <x v="1"/>
    <x v="25"/>
    <x v="0"/>
    <x v="1"/>
  </r>
  <r>
    <n v="22974"/>
    <x v="0"/>
    <x v="0"/>
    <n v="30000"/>
    <n v="2"/>
    <x v="1"/>
    <s v="Clerical"/>
    <s v="Yes"/>
    <n v="2"/>
    <x v="2"/>
    <x v="1"/>
    <x v="45"/>
    <x v="1"/>
    <x v="0"/>
  </r>
  <r>
    <n v="13586"/>
    <x v="0"/>
    <x v="1"/>
    <n v="80000"/>
    <n v="4"/>
    <x v="1"/>
    <s v="Professional"/>
    <s v="Yes"/>
    <n v="2"/>
    <x v="4"/>
    <x v="0"/>
    <x v="39"/>
    <x v="1"/>
    <x v="0"/>
  </r>
  <r>
    <n v="17978"/>
    <x v="0"/>
    <x v="1"/>
    <n v="40000"/>
    <n v="0"/>
    <x v="4"/>
    <s v="Clerical"/>
    <s v="Yes"/>
    <n v="0"/>
    <x v="0"/>
    <x v="0"/>
    <x v="34"/>
    <x v="0"/>
    <x v="1"/>
  </r>
  <r>
    <n v="12581"/>
    <x v="1"/>
    <x v="0"/>
    <n v="10000"/>
    <n v="0"/>
    <x v="1"/>
    <s v="Manual"/>
    <s v="No"/>
    <n v="1"/>
    <x v="0"/>
    <x v="1"/>
    <x v="26"/>
    <x v="0"/>
    <x v="1"/>
  </r>
  <r>
    <n v="18018"/>
    <x v="1"/>
    <x v="1"/>
    <n v="30000"/>
    <n v="3"/>
    <x v="1"/>
    <s v="Clerical"/>
    <s v="Yes"/>
    <n v="0"/>
    <x v="0"/>
    <x v="0"/>
    <x v="1"/>
    <x v="0"/>
    <x v="0"/>
  </r>
  <r>
    <n v="28957"/>
    <x v="1"/>
    <x v="0"/>
    <n v="120000"/>
    <n v="0"/>
    <x v="3"/>
    <s v="Professional"/>
    <s v="Yes"/>
    <n v="4"/>
    <x v="4"/>
    <x v="1"/>
    <x v="17"/>
    <x v="0"/>
    <x v="1"/>
  </r>
  <r>
    <n v="13690"/>
    <x v="1"/>
    <x v="0"/>
    <n v="20000"/>
    <n v="0"/>
    <x v="3"/>
    <s v="Manual"/>
    <s v="No"/>
    <n v="2"/>
    <x v="3"/>
    <x v="0"/>
    <x v="17"/>
    <x v="0"/>
    <x v="1"/>
  </r>
  <r>
    <n v="12568"/>
    <x v="0"/>
    <x v="0"/>
    <n v="30000"/>
    <n v="1"/>
    <x v="0"/>
    <s v="Clerical"/>
    <s v="Yes"/>
    <n v="0"/>
    <x v="0"/>
    <x v="0"/>
    <x v="46"/>
    <x v="1"/>
    <x v="0"/>
  </r>
  <r>
    <n v="13122"/>
    <x v="0"/>
    <x v="0"/>
    <n v="80000"/>
    <n v="0"/>
    <x v="0"/>
    <s v="Professional"/>
    <s v="Yes"/>
    <n v="1"/>
    <x v="3"/>
    <x v="1"/>
    <x v="3"/>
    <x v="0"/>
    <x v="1"/>
  </r>
  <r>
    <n v="21184"/>
    <x v="1"/>
    <x v="1"/>
    <n v="70000"/>
    <n v="0"/>
    <x v="0"/>
    <s v="Professional"/>
    <s v="No"/>
    <n v="1"/>
    <x v="2"/>
    <x v="1"/>
    <x v="13"/>
    <x v="0"/>
    <x v="0"/>
  </r>
  <r>
    <n v="26150"/>
    <x v="1"/>
    <x v="0"/>
    <n v="70000"/>
    <n v="0"/>
    <x v="0"/>
    <s v="Professional"/>
    <s v="No"/>
    <n v="1"/>
    <x v="0"/>
    <x v="1"/>
    <x v="3"/>
    <x v="0"/>
    <x v="1"/>
  </r>
  <r>
    <n v="24151"/>
    <x v="1"/>
    <x v="1"/>
    <n v="20000"/>
    <n v="1"/>
    <x v="0"/>
    <s v="Clerical"/>
    <s v="No"/>
    <n v="0"/>
    <x v="0"/>
    <x v="0"/>
    <x v="36"/>
    <x v="1"/>
    <x v="0"/>
  </r>
  <r>
    <n v="23962"/>
    <x v="0"/>
    <x v="0"/>
    <n v="10000"/>
    <n v="0"/>
    <x v="3"/>
    <s v="Manual"/>
    <s v="Yes"/>
    <n v="2"/>
    <x v="3"/>
    <x v="0"/>
    <x v="21"/>
    <x v="0"/>
    <x v="0"/>
  </r>
  <r>
    <n v="17793"/>
    <x v="0"/>
    <x v="0"/>
    <n v="40000"/>
    <n v="0"/>
    <x v="0"/>
    <s v="Clerical"/>
    <s v="Yes"/>
    <n v="0"/>
    <x v="0"/>
    <x v="0"/>
    <x v="13"/>
    <x v="0"/>
    <x v="1"/>
  </r>
  <r>
    <n v="14926"/>
    <x v="0"/>
    <x v="1"/>
    <n v="30000"/>
    <n v="1"/>
    <x v="0"/>
    <s v="Clerical"/>
    <s v="Yes"/>
    <n v="0"/>
    <x v="0"/>
    <x v="0"/>
    <x v="13"/>
    <x v="0"/>
    <x v="1"/>
  </r>
  <r>
    <n v="16163"/>
    <x v="1"/>
    <x v="1"/>
    <n v="60000"/>
    <n v="2"/>
    <x v="0"/>
    <s v="Professional"/>
    <s v="Yes"/>
    <n v="1"/>
    <x v="1"/>
    <x v="1"/>
    <x v="13"/>
    <x v="0"/>
    <x v="1"/>
  </r>
  <r>
    <n v="21365"/>
    <x v="0"/>
    <x v="0"/>
    <n v="10000"/>
    <n v="2"/>
    <x v="3"/>
    <s v="Clerical"/>
    <s v="Yes"/>
    <n v="2"/>
    <x v="2"/>
    <x v="1"/>
    <x v="7"/>
    <x v="1"/>
    <x v="0"/>
  </r>
  <r>
    <n v="27771"/>
    <x v="1"/>
    <x v="1"/>
    <n v="30000"/>
    <n v="1"/>
    <x v="0"/>
    <s v="Clerical"/>
    <s v="Yes"/>
    <n v="1"/>
    <x v="3"/>
    <x v="0"/>
    <x v="32"/>
    <x v="0"/>
    <x v="1"/>
  </r>
  <r>
    <n v="26167"/>
    <x v="1"/>
    <x v="0"/>
    <n v="40000"/>
    <n v="2"/>
    <x v="0"/>
    <s v="Management"/>
    <s v="No"/>
    <n v="1"/>
    <x v="2"/>
    <x v="1"/>
    <x v="39"/>
    <x v="1"/>
    <x v="1"/>
  </r>
  <r>
    <n v="25792"/>
    <x v="1"/>
    <x v="0"/>
    <n v="110000"/>
    <n v="3"/>
    <x v="0"/>
    <s v="Management"/>
    <s v="Yes"/>
    <n v="4"/>
    <x v="4"/>
    <x v="0"/>
    <x v="39"/>
    <x v="1"/>
    <x v="0"/>
  </r>
  <r>
    <n v="11555"/>
    <x v="0"/>
    <x v="0"/>
    <n v="40000"/>
    <n v="1"/>
    <x v="0"/>
    <s v="Clerical"/>
    <s v="Yes"/>
    <n v="0"/>
    <x v="0"/>
    <x v="0"/>
    <x v="48"/>
    <x v="1"/>
    <x v="0"/>
  </r>
  <r>
    <n v="22381"/>
    <x v="0"/>
    <x v="1"/>
    <n v="10000"/>
    <n v="1"/>
    <x v="4"/>
    <s v="Manual"/>
    <s v="Yes"/>
    <n v="0"/>
    <x v="0"/>
    <x v="0"/>
    <x v="20"/>
    <x v="0"/>
    <x v="0"/>
  </r>
  <r>
    <n v="17882"/>
    <x v="0"/>
    <x v="1"/>
    <n v="20000"/>
    <n v="1"/>
    <x v="4"/>
    <s v="Clerical"/>
    <s v="Yes"/>
    <n v="0"/>
    <x v="0"/>
    <x v="0"/>
    <x v="20"/>
    <x v="0"/>
    <x v="0"/>
  </r>
  <r>
    <n v="22174"/>
    <x v="0"/>
    <x v="1"/>
    <n v="30000"/>
    <n v="3"/>
    <x v="2"/>
    <s v="Skilled Manual"/>
    <s v="Yes"/>
    <n v="2"/>
    <x v="2"/>
    <x v="1"/>
    <x v="9"/>
    <x v="1"/>
    <x v="1"/>
  </r>
  <r>
    <n v="22439"/>
    <x v="0"/>
    <x v="0"/>
    <n v="30000"/>
    <n v="0"/>
    <x v="0"/>
    <s v="Clerical"/>
    <s v="Yes"/>
    <n v="0"/>
    <x v="0"/>
    <x v="0"/>
    <x v="34"/>
    <x v="0"/>
    <x v="1"/>
  </r>
  <r>
    <n v="18012"/>
    <x v="0"/>
    <x v="0"/>
    <n v="40000"/>
    <n v="1"/>
    <x v="0"/>
    <s v="Skilled Manual"/>
    <s v="Yes"/>
    <n v="0"/>
    <x v="0"/>
    <x v="0"/>
    <x v="3"/>
    <x v="0"/>
    <x v="0"/>
  </r>
  <r>
    <n v="27582"/>
    <x v="1"/>
    <x v="0"/>
    <n v="90000"/>
    <n v="2"/>
    <x v="0"/>
    <s v="Professional"/>
    <s v="No"/>
    <n v="0"/>
    <x v="0"/>
    <x v="1"/>
    <x v="4"/>
    <x v="0"/>
    <x v="1"/>
  </r>
  <r>
    <n v="12744"/>
    <x v="1"/>
    <x v="0"/>
    <n v="40000"/>
    <n v="2"/>
    <x v="1"/>
    <s v="Clerical"/>
    <s v="Yes"/>
    <n v="0"/>
    <x v="0"/>
    <x v="0"/>
    <x v="6"/>
    <x v="0"/>
    <x v="0"/>
  </r>
  <r>
    <n v="22821"/>
    <x v="0"/>
    <x v="0"/>
    <n v="130000"/>
    <n v="3"/>
    <x v="1"/>
    <s v="Professional"/>
    <s v="Yes"/>
    <n v="4"/>
    <x v="0"/>
    <x v="0"/>
    <x v="31"/>
    <x v="1"/>
    <x v="0"/>
  </r>
  <r>
    <n v="20171"/>
    <x v="0"/>
    <x v="0"/>
    <n v="20000"/>
    <n v="2"/>
    <x v="1"/>
    <s v="Manual"/>
    <s v="Yes"/>
    <n v="1"/>
    <x v="0"/>
    <x v="0"/>
    <x v="30"/>
    <x v="0"/>
    <x v="1"/>
  </r>
  <r>
    <n v="11116"/>
    <x v="0"/>
    <x v="1"/>
    <n v="70000"/>
    <n v="5"/>
    <x v="1"/>
    <s v="Skilled Manual"/>
    <s v="Yes"/>
    <n v="2"/>
    <x v="2"/>
    <x v="1"/>
    <x v="1"/>
    <x v="0"/>
    <x v="0"/>
  </r>
  <r>
    <n v="20053"/>
    <x v="1"/>
    <x v="1"/>
    <n v="40000"/>
    <n v="2"/>
    <x v="1"/>
    <s v="Clerical"/>
    <s v="Yes"/>
    <n v="0"/>
    <x v="0"/>
    <x v="0"/>
    <x v="17"/>
    <x v="0"/>
    <x v="0"/>
  </r>
  <r>
    <n v="25266"/>
    <x v="1"/>
    <x v="0"/>
    <n v="30000"/>
    <n v="2"/>
    <x v="1"/>
    <s v="Clerical"/>
    <s v="No"/>
    <n v="2"/>
    <x v="2"/>
    <x v="1"/>
    <x v="41"/>
    <x v="1"/>
    <x v="0"/>
  </r>
  <r>
    <n v="17960"/>
    <x v="0"/>
    <x v="0"/>
    <n v="40000"/>
    <n v="0"/>
    <x v="4"/>
    <s v="Clerical"/>
    <s v="Yes"/>
    <n v="0"/>
    <x v="0"/>
    <x v="0"/>
    <x v="11"/>
    <x v="0"/>
    <x v="1"/>
  </r>
  <r>
    <n v="13961"/>
    <x v="0"/>
    <x v="0"/>
    <n v="80000"/>
    <n v="5"/>
    <x v="4"/>
    <s v="Management"/>
    <s v="Yes"/>
    <n v="3"/>
    <x v="0"/>
    <x v="1"/>
    <x v="8"/>
    <x v="0"/>
    <x v="0"/>
  </r>
  <r>
    <n v="11897"/>
    <x v="1"/>
    <x v="1"/>
    <n v="60000"/>
    <n v="2"/>
    <x v="0"/>
    <s v="Professional"/>
    <s v="No"/>
    <n v="1"/>
    <x v="0"/>
    <x v="1"/>
    <x v="34"/>
    <x v="0"/>
    <x v="1"/>
  </r>
  <r>
    <n v="11139"/>
    <x v="1"/>
    <x v="0"/>
    <n v="30000"/>
    <n v="2"/>
    <x v="1"/>
    <s v="Clerical"/>
    <s v="No"/>
    <n v="2"/>
    <x v="2"/>
    <x v="1"/>
    <x v="41"/>
    <x v="1"/>
    <x v="0"/>
  </r>
  <r>
    <n v="11576"/>
    <x v="0"/>
    <x v="1"/>
    <n v="30000"/>
    <n v="1"/>
    <x v="0"/>
    <s v="Skilled Manual"/>
    <s v="Yes"/>
    <n v="2"/>
    <x v="0"/>
    <x v="0"/>
    <x v="3"/>
    <x v="0"/>
    <x v="1"/>
  </r>
  <r>
    <n v="19255"/>
    <x v="1"/>
    <x v="1"/>
    <n v="10000"/>
    <n v="2"/>
    <x v="1"/>
    <s v="Manual"/>
    <s v="Yes"/>
    <n v="1"/>
    <x v="0"/>
    <x v="0"/>
    <x v="36"/>
    <x v="1"/>
    <x v="1"/>
  </r>
  <r>
    <n v="18153"/>
    <x v="0"/>
    <x v="0"/>
    <n v="100000"/>
    <n v="2"/>
    <x v="0"/>
    <s v="Management"/>
    <s v="Yes"/>
    <n v="4"/>
    <x v="4"/>
    <x v="0"/>
    <x v="14"/>
    <x v="1"/>
    <x v="0"/>
  </r>
  <r>
    <n v="14547"/>
    <x v="0"/>
    <x v="1"/>
    <n v="10000"/>
    <n v="2"/>
    <x v="1"/>
    <s v="Manual"/>
    <s v="Yes"/>
    <n v="0"/>
    <x v="3"/>
    <x v="0"/>
    <x v="36"/>
    <x v="1"/>
    <x v="0"/>
  </r>
  <r>
    <n v="24901"/>
    <x v="1"/>
    <x v="1"/>
    <n v="110000"/>
    <n v="0"/>
    <x v="1"/>
    <s v="Management"/>
    <s v="No"/>
    <n v="3"/>
    <x v="4"/>
    <x v="1"/>
    <x v="21"/>
    <x v="0"/>
    <x v="1"/>
  </r>
  <r>
    <n v="27169"/>
    <x v="1"/>
    <x v="1"/>
    <n v="30000"/>
    <n v="0"/>
    <x v="2"/>
    <s v="Manual"/>
    <s v="Yes"/>
    <n v="1"/>
    <x v="1"/>
    <x v="0"/>
    <x v="17"/>
    <x v="0"/>
    <x v="1"/>
  </r>
  <r>
    <n v="14805"/>
    <x v="1"/>
    <x v="0"/>
    <n v="10000"/>
    <n v="3"/>
    <x v="3"/>
    <s v="Manual"/>
    <s v="Yes"/>
    <n v="2"/>
    <x v="0"/>
    <x v="0"/>
    <x v="1"/>
    <x v="0"/>
    <x v="0"/>
  </r>
  <r>
    <n v="15822"/>
    <x v="0"/>
    <x v="1"/>
    <n v="40000"/>
    <n v="2"/>
    <x v="0"/>
    <s v="Management"/>
    <s v="Yes"/>
    <n v="2"/>
    <x v="0"/>
    <x v="1"/>
    <x v="41"/>
    <x v="1"/>
    <x v="0"/>
  </r>
  <r>
    <n v="19389"/>
    <x v="1"/>
    <x v="1"/>
    <n v="30000"/>
    <n v="0"/>
    <x v="1"/>
    <s v="Clerical"/>
    <s v="No"/>
    <n v="1"/>
    <x v="1"/>
    <x v="0"/>
    <x v="26"/>
    <x v="0"/>
    <x v="0"/>
  </r>
  <r>
    <n v="17048"/>
    <x v="1"/>
    <x v="0"/>
    <n v="90000"/>
    <n v="1"/>
    <x v="4"/>
    <s v="Management"/>
    <s v="Yes"/>
    <n v="0"/>
    <x v="0"/>
    <x v="1"/>
    <x v="4"/>
    <x v="0"/>
    <x v="1"/>
  </r>
  <r>
    <n v="22204"/>
    <x v="0"/>
    <x v="1"/>
    <n v="110000"/>
    <n v="4"/>
    <x v="0"/>
    <s v="Management"/>
    <s v="Yes"/>
    <n v="3"/>
    <x v="1"/>
    <x v="1"/>
    <x v="28"/>
    <x v="0"/>
    <x v="0"/>
  </r>
  <r>
    <n v="12718"/>
    <x v="1"/>
    <x v="0"/>
    <n v="30000"/>
    <n v="0"/>
    <x v="1"/>
    <s v="Clerical"/>
    <s v="Yes"/>
    <n v="1"/>
    <x v="1"/>
    <x v="0"/>
    <x v="23"/>
    <x v="0"/>
    <x v="0"/>
  </r>
  <r>
    <n v="15019"/>
    <x v="1"/>
    <x v="0"/>
    <n v="30000"/>
    <n v="3"/>
    <x v="2"/>
    <s v="Skilled Manual"/>
    <s v="Yes"/>
    <n v="2"/>
    <x v="2"/>
    <x v="1"/>
    <x v="10"/>
    <x v="1"/>
    <x v="0"/>
  </r>
  <r>
    <n v="28488"/>
    <x v="1"/>
    <x v="1"/>
    <n v="20000"/>
    <n v="0"/>
    <x v="1"/>
    <s v="Manual"/>
    <s v="Yes"/>
    <n v="0"/>
    <x v="0"/>
    <x v="1"/>
    <x v="26"/>
    <x v="0"/>
    <x v="1"/>
  </r>
  <r>
    <n v="21891"/>
    <x v="0"/>
    <x v="0"/>
    <n v="110000"/>
    <n v="0"/>
    <x v="2"/>
    <s v="Management"/>
    <s v="Yes"/>
    <n v="3"/>
    <x v="4"/>
    <x v="1"/>
    <x v="17"/>
    <x v="0"/>
    <x v="1"/>
  </r>
  <r>
    <n v="27814"/>
    <x v="1"/>
    <x v="0"/>
    <n v="30000"/>
    <n v="3"/>
    <x v="1"/>
    <s v="Clerical"/>
    <s v="No"/>
    <n v="1"/>
    <x v="0"/>
    <x v="0"/>
    <x v="22"/>
    <x v="0"/>
    <x v="0"/>
  </r>
  <r>
    <n v="22175"/>
    <x v="0"/>
    <x v="0"/>
    <n v="30000"/>
    <n v="3"/>
    <x v="2"/>
    <s v="Skilled Manual"/>
    <s v="Yes"/>
    <n v="2"/>
    <x v="2"/>
    <x v="1"/>
    <x v="39"/>
    <x v="1"/>
    <x v="1"/>
  </r>
  <r>
    <n v="29447"/>
    <x v="1"/>
    <x v="0"/>
    <n v="10000"/>
    <n v="2"/>
    <x v="0"/>
    <s v="Clerical"/>
    <s v="No"/>
    <n v="1"/>
    <x v="1"/>
    <x v="0"/>
    <x v="35"/>
    <x v="1"/>
    <x v="0"/>
  </r>
  <r>
    <n v="19784"/>
    <x v="0"/>
    <x v="0"/>
    <n v="80000"/>
    <n v="2"/>
    <x v="2"/>
    <s v="Skilled Manual"/>
    <s v="Yes"/>
    <n v="2"/>
    <x v="2"/>
    <x v="1"/>
    <x v="5"/>
    <x v="1"/>
    <x v="1"/>
  </r>
  <r>
    <n v="27824"/>
    <x v="1"/>
    <x v="0"/>
    <n v="30000"/>
    <n v="3"/>
    <x v="1"/>
    <s v="Clerical"/>
    <s v="Yes"/>
    <n v="2"/>
    <x v="0"/>
    <x v="0"/>
    <x v="26"/>
    <x v="0"/>
    <x v="1"/>
  </r>
  <r>
    <n v="24093"/>
    <x v="1"/>
    <x v="0"/>
    <n v="80000"/>
    <n v="0"/>
    <x v="4"/>
    <s v="Skilled Manual"/>
    <s v="No"/>
    <n v="0"/>
    <x v="0"/>
    <x v="0"/>
    <x v="8"/>
    <x v="0"/>
    <x v="1"/>
  </r>
  <r>
    <n v="19618"/>
    <x v="0"/>
    <x v="1"/>
    <n v="70000"/>
    <n v="5"/>
    <x v="1"/>
    <s v="Skilled Manual"/>
    <s v="Yes"/>
    <n v="2"/>
    <x v="0"/>
    <x v="1"/>
    <x v="20"/>
    <x v="0"/>
    <x v="0"/>
  </r>
  <r>
    <n v="21561"/>
    <x v="1"/>
    <x v="1"/>
    <n v="90000"/>
    <n v="0"/>
    <x v="0"/>
    <s v="Professional"/>
    <s v="No"/>
    <n v="3"/>
    <x v="4"/>
    <x v="1"/>
    <x v="17"/>
    <x v="0"/>
    <x v="1"/>
  </r>
  <r>
    <n v="11061"/>
    <x v="0"/>
    <x v="1"/>
    <n v="70000"/>
    <n v="2"/>
    <x v="1"/>
    <s v="Skilled Manual"/>
    <s v="Yes"/>
    <n v="2"/>
    <x v="2"/>
    <x v="1"/>
    <x v="31"/>
    <x v="1"/>
    <x v="1"/>
  </r>
  <r>
    <n v="26651"/>
    <x v="1"/>
    <x v="1"/>
    <n v="80000"/>
    <n v="4"/>
    <x v="4"/>
    <s v="Management"/>
    <s v="Yes"/>
    <n v="0"/>
    <x v="0"/>
    <x v="1"/>
    <x v="4"/>
    <x v="0"/>
    <x v="1"/>
  </r>
  <r>
    <n v="21108"/>
    <x v="0"/>
    <x v="0"/>
    <n v="40000"/>
    <n v="1"/>
    <x v="0"/>
    <s v="Skilled Manual"/>
    <s v="Yes"/>
    <n v="1"/>
    <x v="0"/>
    <x v="0"/>
    <x v="1"/>
    <x v="0"/>
    <x v="1"/>
  </r>
  <r>
    <n v="12731"/>
    <x v="1"/>
    <x v="1"/>
    <n v="30000"/>
    <n v="0"/>
    <x v="2"/>
    <s v="Manual"/>
    <s v="No"/>
    <n v="1"/>
    <x v="3"/>
    <x v="0"/>
    <x v="21"/>
    <x v="0"/>
    <x v="0"/>
  </r>
  <r>
    <n v="25307"/>
    <x v="0"/>
    <x v="0"/>
    <n v="40000"/>
    <n v="1"/>
    <x v="0"/>
    <s v="Skilled Manual"/>
    <s v="Yes"/>
    <n v="1"/>
    <x v="3"/>
    <x v="0"/>
    <x v="21"/>
    <x v="0"/>
    <x v="1"/>
  </r>
  <r>
    <n v="14278"/>
    <x v="0"/>
    <x v="0"/>
    <n v="130000"/>
    <n v="0"/>
    <x v="4"/>
    <s v="Management"/>
    <s v="Yes"/>
    <n v="1"/>
    <x v="4"/>
    <x v="1"/>
    <x v="28"/>
    <x v="0"/>
    <x v="0"/>
  </r>
  <r>
    <n v="20711"/>
    <x v="0"/>
    <x v="0"/>
    <n v="40000"/>
    <n v="1"/>
    <x v="0"/>
    <s v="Skilled Manual"/>
    <s v="Yes"/>
    <n v="0"/>
    <x v="3"/>
    <x v="0"/>
    <x v="21"/>
    <x v="0"/>
    <x v="1"/>
  </r>
  <r>
    <n v="11383"/>
    <x v="0"/>
    <x v="0"/>
    <n v="30000"/>
    <n v="3"/>
    <x v="4"/>
    <s v="Clerical"/>
    <s v="Yes"/>
    <n v="0"/>
    <x v="0"/>
    <x v="0"/>
    <x v="30"/>
    <x v="0"/>
    <x v="0"/>
  </r>
  <r>
    <n v="12497"/>
    <x v="0"/>
    <x v="0"/>
    <n v="40000"/>
    <n v="1"/>
    <x v="0"/>
    <s v="Skilled Manual"/>
    <s v="Yes"/>
    <n v="0"/>
    <x v="0"/>
    <x v="0"/>
    <x v="0"/>
    <x v="0"/>
    <x v="0"/>
  </r>
  <r>
    <n v="16559"/>
    <x v="1"/>
    <x v="0"/>
    <n v="10000"/>
    <n v="2"/>
    <x v="2"/>
    <s v="Manual"/>
    <s v="Yes"/>
    <n v="0"/>
    <x v="0"/>
    <x v="0"/>
    <x v="4"/>
    <x v="0"/>
    <x v="1"/>
  </r>
  <r>
    <n v="11585"/>
    <x v="0"/>
    <x v="0"/>
    <n v="40000"/>
    <n v="1"/>
    <x v="0"/>
    <s v="Skilled Manual"/>
    <s v="Yes"/>
    <n v="0"/>
    <x v="0"/>
    <x v="0"/>
    <x v="3"/>
    <x v="0"/>
    <x v="0"/>
  </r>
  <r>
    <n v="20277"/>
    <x v="0"/>
    <x v="0"/>
    <n v="30000"/>
    <n v="2"/>
    <x v="1"/>
    <s v="Clerical"/>
    <s v="No"/>
    <n v="2"/>
    <x v="0"/>
    <x v="1"/>
    <x v="45"/>
    <x v="1"/>
    <x v="0"/>
  </r>
  <r>
    <n v="26765"/>
    <x v="1"/>
    <x v="0"/>
    <n v="70000"/>
    <n v="5"/>
    <x v="1"/>
    <s v="Skilled Manual"/>
    <s v="Yes"/>
    <n v="2"/>
    <x v="2"/>
    <x v="1"/>
    <x v="12"/>
    <x v="0"/>
    <x v="0"/>
  </r>
  <r>
    <n v="12389"/>
    <x v="1"/>
    <x v="1"/>
    <n v="30000"/>
    <n v="0"/>
    <x v="2"/>
    <s v="Manual"/>
    <s v="No"/>
    <n v="1"/>
    <x v="1"/>
    <x v="0"/>
    <x v="17"/>
    <x v="0"/>
    <x v="0"/>
  </r>
  <r>
    <n v="13585"/>
    <x v="0"/>
    <x v="0"/>
    <n v="80000"/>
    <n v="4"/>
    <x v="1"/>
    <s v="Professional"/>
    <s v="No"/>
    <n v="1"/>
    <x v="1"/>
    <x v="0"/>
    <x v="39"/>
    <x v="1"/>
    <x v="1"/>
  </r>
  <r>
    <n v="26385"/>
    <x v="1"/>
    <x v="1"/>
    <n v="120000"/>
    <n v="3"/>
    <x v="2"/>
    <s v="Professional"/>
    <s v="No"/>
    <n v="4"/>
    <x v="2"/>
    <x v="0"/>
    <x v="5"/>
    <x v="1"/>
    <x v="0"/>
  </r>
  <r>
    <n v="12236"/>
    <x v="0"/>
    <x v="0"/>
    <n v="20000"/>
    <n v="1"/>
    <x v="1"/>
    <s v="Manual"/>
    <s v="Yes"/>
    <n v="0"/>
    <x v="0"/>
    <x v="0"/>
    <x v="27"/>
    <x v="1"/>
    <x v="0"/>
  </r>
  <r>
    <n v="21560"/>
    <x v="0"/>
    <x v="1"/>
    <n v="120000"/>
    <n v="0"/>
    <x v="3"/>
    <s v="Professional"/>
    <s v="Yes"/>
    <n v="4"/>
    <x v="4"/>
    <x v="1"/>
    <x v="21"/>
    <x v="0"/>
    <x v="1"/>
  </r>
  <r>
    <n v="21554"/>
    <x v="1"/>
    <x v="0"/>
    <n v="80000"/>
    <n v="0"/>
    <x v="0"/>
    <s v="Professional"/>
    <s v="No"/>
    <n v="3"/>
    <x v="4"/>
    <x v="1"/>
    <x v="6"/>
    <x v="0"/>
    <x v="0"/>
  </r>
  <r>
    <n v="13662"/>
    <x v="1"/>
    <x v="1"/>
    <n v="20000"/>
    <n v="0"/>
    <x v="3"/>
    <s v="Manual"/>
    <s v="Yes"/>
    <n v="2"/>
    <x v="3"/>
    <x v="0"/>
    <x v="23"/>
    <x v="0"/>
    <x v="1"/>
  </r>
  <r>
    <n v="13089"/>
    <x v="0"/>
    <x v="0"/>
    <n v="120000"/>
    <n v="1"/>
    <x v="0"/>
    <s v="Management"/>
    <s v="Yes"/>
    <n v="2"/>
    <x v="0"/>
    <x v="1"/>
    <x v="30"/>
    <x v="0"/>
    <x v="1"/>
  </r>
  <r>
    <n v="14791"/>
    <x v="0"/>
    <x v="0"/>
    <n v="40000"/>
    <n v="0"/>
    <x v="0"/>
    <s v="Clerical"/>
    <s v="Yes"/>
    <n v="0"/>
    <x v="0"/>
    <x v="0"/>
    <x v="32"/>
    <x v="0"/>
    <x v="1"/>
  </r>
  <r>
    <n v="19331"/>
    <x v="1"/>
    <x v="1"/>
    <n v="20000"/>
    <n v="2"/>
    <x v="2"/>
    <s v="Manual"/>
    <s v="Yes"/>
    <n v="1"/>
    <x v="0"/>
    <x v="0"/>
    <x v="8"/>
    <x v="0"/>
    <x v="0"/>
  </r>
  <r>
    <n v="17754"/>
    <x v="1"/>
    <x v="0"/>
    <n v="30000"/>
    <n v="3"/>
    <x v="0"/>
    <s v="Clerical"/>
    <s v="Yes"/>
    <n v="0"/>
    <x v="0"/>
    <x v="0"/>
    <x v="30"/>
    <x v="0"/>
    <x v="1"/>
  </r>
  <r>
    <n v="11149"/>
    <x v="0"/>
    <x v="1"/>
    <n v="40000"/>
    <n v="2"/>
    <x v="0"/>
    <s v="Management"/>
    <s v="Yes"/>
    <n v="2"/>
    <x v="0"/>
    <x v="1"/>
    <x v="27"/>
    <x v="1"/>
    <x v="0"/>
  </r>
  <r>
    <n v="16549"/>
    <x v="1"/>
    <x v="0"/>
    <n v="30000"/>
    <n v="3"/>
    <x v="0"/>
    <s v="Clerical"/>
    <s v="Yes"/>
    <n v="0"/>
    <x v="0"/>
    <x v="0"/>
    <x v="15"/>
    <x v="0"/>
    <x v="1"/>
  </r>
  <r>
    <n v="24305"/>
    <x v="1"/>
    <x v="1"/>
    <n v="100000"/>
    <n v="1"/>
    <x v="0"/>
    <s v="Management"/>
    <s v="No"/>
    <n v="3"/>
    <x v="0"/>
    <x v="1"/>
    <x v="30"/>
    <x v="0"/>
    <x v="1"/>
  </r>
  <r>
    <n v="18253"/>
    <x v="0"/>
    <x v="0"/>
    <n v="80000"/>
    <n v="5"/>
    <x v="4"/>
    <s v="Management"/>
    <s v="Yes"/>
    <n v="3"/>
    <x v="0"/>
    <x v="1"/>
    <x v="8"/>
    <x v="0"/>
    <x v="0"/>
  </r>
  <r>
    <n v="20147"/>
    <x v="0"/>
    <x v="0"/>
    <n v="30000"/>
    <n v="1"/>
    <x v="0"/>
    <s v="Clerical"/>
    <s v="Yes"/>
    <n v="0"/>
    <x v="0"/>
    <x v="0"/>
    <x v="27"/>
    <x v="1"/>
    <x v="0"/>
  </r>
  <r>
    <n v="15612"/>
    <x v="1"/>
    <x v="1"/>
    <n v="30000"/>
    <n v="0"/>
    <x v="2"/>
    <s v="Manual"/>
    <s v="No"/>
    <n v="1"/>
    <x v="3"/>
    <x v="0"/>
    <x v="26"/>
    <x v="0"/>
    <x v="0"/>
  </r>
  <r>
    <n v="28323"/>
    <x v="1"/>
    <x v="1"/>
    <n v="70000"/>
    <n v="0"/>
    <x v="0"/>
    <s v="Professional"/>
    <s v="No"/>
    <n v="2"/>
    <x v="2"/>
    <x v="1"/>
    <x v="1"/>
    <x v="0"/>
    <x v="1"/>
  </r>
  <r>
    <n v="22634"/>
    <x v="1"/>
    <x v="0"/>
    <n v="40000"/>
    <n v="0"/>
    <x v="4"/>
    <s v="Clerical"/>
    <s v="Yes"/>
    <n v="0"/>
    <x v="0"/>
    <x v="0"/>
    <x v="13"/>
    <x v="0"/>
    <x v="1"/>
  </r>
  <r>
    <n v="15665"/>
    <x v="0"/>
    <x v="0"/>
    <n v="30000"/>
    <n v="0"/>
    <x v="0"/>
    <s v="Clerical"/>
    <s v="Yes"/>
    <n v="0"/>
    <x v="0"/>
    <x v="0"/>
    <x v="15"/>
    <x v="0"/>
    <x v="1"/>
  </r>
  <r>
    <n v="27585"/>
    <x v="0"/>
    <x v="0"/>
    <n v="90000"/>
    <n v="2"/>
    <x v="0"/>
    <s v="Professional"/>
    <s v="No"/>
    <n v="0"/>
    <x v="0"/>
    <x v="1"/>
    <x v="4"/>
    <x v="0"/>
    <x v="1"/>
  </r>
  <r>
    <n v="19748"/>
    <x v="0"/>
    <x v="1"/>
    <n v="20000"/>
    <n v="4"/>
    <x v="2"/>
    <s v="Skilled Manual"/>
    <s v="No"/>
    <n v="2"/>
    <x v="3"/>
    <x v="1"/>
    <x v="2"/>
    <x v="1"/>
    <x v="0"/>
  </r>
  <r>
    <n v="21974"/>
    <x v="1"/>
    <x v="0"/>
    <n v="70000"/>
    <n v="0"/>
    <x v="0"/>
    <s v="Professional"/>
    <s v="Yes"/>
    <n v="1"/>
    <x v="2"/>
    <x v="1"/>
    <x v="0"/>
    <x v="0"/>
    <x v="1"/>
  </r>
  <r>
    <n v="14032"/>
    <x v="0"/>
    <x v="1"/>
    <n v="70000"/>
    <n v="2"/>
    <x v="2"/>
    <s v="Skilled Manual"/>
    <s v="No"/>
    <n v="2"/>
    <x v="3"/>
    <x v="1"/>
    <x v="5"/>
    <x v="1"/>
    <x v="1"/>
  </r>
  <r>
    <n v="22610"/>
    <x v="0"/>
    <x v="1"/>
    <n v="30000"/>
    <n v="0"/>
    <x v="0"/>
    <s v="Clerical"/>
    <s v="Yes"/>
    <n v="0"/>
    <x v="0"/>
    <x v="0"/>
    <x v="11"/>
    <x v="0"/>
    <x v="1"/>
  </r>
  <r>
    <n v="26984"/>
    <x v="0"/>
    <x v="1"/>
    <n v="40000"/>
    <n v="1"/>
    <x v="0"/>
    <s v="Skilled Manual"/>
    <s v="Yes"/>
    <n v="1"/>
    <x v="0"/>
    <x v="0"/>
    <x v="21"/>
    <x v="0"/>
    <x v="1"/>
  </r>
  <r>
    <n v="18294"/>
    <x v="0"/>
    <x v="0"/>
    <n v="90000"/>
    <n v="1"/>
    <x v="0"/>
    <s v="Professional"/>
    <s v="Yes"/>
    <n v="1"/>
    <x v="2"/>
    <x v="1"/>
    <x v="30"/>
    <x v="0"/>
    <x v="0"/>
  </r>
  <r>
    <n v="28564"/>
    <x v="1"/>
    <x v="0"/>
    <n v="40000"/>
    <n v="2"/>
    <x v="1"/>
    <s v="Clerical"/>
    <s v="Yes"/>
    <n v="0"/>
    <x v="3"/>
    <x v="0"/>
    <x v="6"/>
    <x v="0"/>
    <x v="1"/>
  </r>
  <r>
    <n v="28521"/>
    <x v="1"/>
    <x v="1"/>
    <n v="40000"/>
    <n v="0"/>
    <x v="4"/>
    <s v="Clerical"/>
    <s v="No"/>
    <n v="0"/>
    <x v="0"/>
    <x v="0"/>
    <x v="4"/>
    <x v="0"/>
    <x v="1"/>
  </r>
  <r>
    <n v="15450"/>
    <x v="0"/>
    <x v="1"/>
    <n v="10000"/>
    <n v="1"/>
    <x v="4"/>
    <s v="Clerical"/>
    <s v="Yes"/>
    <n v="0"/>
    <x v="0"/>
    <x v="0"/>
    <x v="43"/>
    <x v="1"/>
    <x v="0"/>
  </r>
  <r>
    <n v="25681"/>
    <x v="1"/>
    <x v="0"/>
    <n v="30000"/>
    <n v="0"/>
    <x v="1"/>
    <s v="Clerical"/>
    <s v="No"/>
    <n v="1"/>
    <x v="1"/>
    <x v="0"/>
    <x v="23"/>
    <x v="0"/>
    <x v="1"/>
  </r>
  <r>
    <n v="19491"/>
    <x v="1"/>
    <x v="1"/>
    <n v="30000"/>
    <n v="2"/>
    <x v="1"/>
    <s v="Clerical"/>
    <s v="Yes"/>
    <n v="2"/>
    <x v="0"/>
    <x v="0"/>
    <x v="0"/>
    <x v="0"/>
    <x v="0"/>
  </r>
  <r>
    <n v="26415"/>
    <x v="0"/>
    <x v="0"/>
    <n v="90000"/>
    <n v="4"/>
    <x v="3"/>
    <s v="Skilled Manual"/>
    <s v="Yes"/>
    <n v="4"/>
    <x v="4"/>
    <x v="0"/>
    <x v="7"/>
    <x v="1"/>
    <x v="0"/>
  </r>
  <r>
    <n v="12821"/>
    <x v="0"/>
    <x v="1"/>
    <n v="40000"/>
    <n v="0"/>
    <x v="0"/>
    <s v="Clerical"/>
    <s v="Yes"/>
    <n v="0"/>
    <x v="0"/>
    <x v="0"/>
    <x v="32"/>
    <x v="0"/>
    <x v="0"/>
  </r>
  <r>
    <n v="15629"/>
    <x v="1"/>
    <x v="0"/>
    <n v="10000"/>
    <n v="0"/>
    <x v="3"/>
    <s v="Manual"/>
    <s v="Yes"/>
    <n v="2"/>
    <x v="3"/>
    <x v="0"/>
    <x v="17"/>
    <x v="0"/>
    <x v="0"/>
  </r>
  <r>
    <n v="27835"/>
    <x v="0"/>
    <x v="1"/>
    <n v="20000"/>
    <n v="0"/>
    <x v="3"/>
    <s v="Manual"/>
    <s v="Yes"/>
    <n v="2"/>
    <x v="0"/>
    <x v="0"/>
    <x v="21"/>
    <x v="0"/>
    <x v="0"/>
  </r>
  <r>
    <n v="11738"/>
    <x v="0"/>
    <x v="1"/>
    <n v="60000"/>
    <n v="4"/>
    <x v="0"/>
    <s v="Professional"/>
    <s v="Yes"/>
    <n v="0"/>
    <x v="1"/>
    <x v="2"/>
    <x v="30"/>
    <x v="0"/>
    <x v="0"/>
  </r>
  <r>
    <n v="25065"/>
    <x v="0"/>
    <x v="1"/>
    <n v="70000"/>
    <n v="2"/>
    <x v="3"/>
    <s v="Skilled Manual"/>
    <s v="Yes"/>
    <n v="2"/>
    <x v="2"/>
    <x v="2"/>
    <x v="28"/>
    <x v="0"/>
    <x v="0"/>
  </r>
  <r>
    <n v="26238"/>
    <x v="1"/>
    <x v="0"/>
    <n v="40000"/>
    <n v="3"/>
    <x v="1"/>
    <s v="Clerical"/>
    <s v="Yes"/>
    <n v="1"/>
    <x v="3"/>
    <x v="2"/>
    <x v="23"/>
    <x v="0"/>
    <x v="1"/>
  </r>
  <r>
    <n v="23707"/>
    <x v="1"/>
    <x v="1"/>
    <n v="70000"/>
    <n v="5"/>
    <x v="0"/>
    <s v="Management"/>
    <s v="Yes"/>
    <n v="3"/>
    <x v="4"/>
    <x v="2"/>
    <x v="2"/>
    <x v="1"/>
    <x v="1"/>
  </r>
  <r>
    <n v="27650"/>
    <x v="0"/>
    <x v="1"/>
    <n v="70000"/>
    <n v="4"/>
    <x v="2"/>
    <s v="Professional"/>
    <s v="Yes"/>
    <n v="0"/>
    <x v="2"/>
    <x v="2"/>
    <x v="36"/>
    <x v="1"/>
    <x v="0"/>
  </r>
  <r>
    <n v="24981"/>
    <x v="0"/>
    <x v="1"/>
    <n v="60000"/>
    <n v="2"/>
    <x v="1"/>
    <s v="Professional"/>
    <s v="Yes"/>
    <n v="2"/>
    <x v="4"/>
    <x v="2"/>
    <x v="16"/>
    <x v="1"/>
    <x v="0"/>
  </r>
  <r>
    <n v="20678"/>
    <x v="1"/>
    <x v="0"/>
    <n v="60000"/>
    <n v="3"/>
    <x v="0"/>
    <s v="Skilled Manual"/>
    <s v="Yes"/>
    <n v="1"/>
    <x v="1"/>
    <x v="2"/>
    <x v="8"/>
    <x v="0"/>
    <x v="1"/>
  </r>
  <r>
    <n v="15302"/>
    <x v="1"/>
    <x v="0"/>
    <n v="70000"/>
    <n v="1"/>
    <x v="4"/>
    <s v="Professional"/>
    <s v="Yes"/>
    <n v="0"/>
    <x v="1"/>
    <x v="2"/>
    <x v="17"/>
    <x v="0"/>
    <x v="1"/>
  </r>
  <r>
    <n v="26012"/>
    <x v="0"/>
    <x v="1"/>
    <n v="80000"/>
    <n v="1"/>
    <x v="1"/>
    <s v="Skilled Manual"/>
    <s v="Yes"/>
    <n v="1"/>
    <x v="1"/>
    <x v="2"/>
    <x v="28"/>
    <x v="0"/>
    <x v="1"/>
  </r>
  <r>
    <n v="26575"/>
    <x v="1"/>
    <x v="0"/>
    <n v="40000"/>
    <n v="0"/>
    <x v="2"/>
    <s v="Skilled Manual"/>
    <s v="No"/>
    <n v="2"/>
    <x v="3"/>
    <x v="2"/>
    <x v="23"/>
    <x v="0"/>
    <x v="1"/>
  </r>
  <r>
    <n v="15559"/>
    <x v="0"/>
    <x v="1"/>
    <n v="60000"/>
    <n v="5"/>
    <x v="0"/>
    <s v="Professional"/>
    <s v="Yes"/>
    <n v="1"/>
    <x v="1"/>
    <x v="2"/>
    <x v="15"/>
    <x v="0"/>
    <x v="0"/>
  </r>
  <r>
    <n v="19235"/>
    <x v="0"/>
    <x v="0"/>
    <n v="50000"/>
    <n v="0"/>
    <x v="4"/>
    <s v="Skilled Manual"/>
    <s v="Yes"/>
    <n v="0"/>
    <x v="0"/>
    <x v="2"/>
    <x v="17"/>
    <x v="0"/>
    <x v="0"/>
  </r>
  <r>
    <n v="15275"/>
    <x v="0"/>
    <x v="1"/>
    <n v="40000"/>
    <n v="0"/>
    <x v="1"/>
    <s v="Skilled Manual"/>
    <s v="Yes"/>
    <n v="1"/>
    <x v="2"/>
    <x v="2"/>
    <x v="19"/>
    <x v="0"/>
    <x v="0"/>
  </r>
  <r>
    <n v="20339"/>
    <x v="0"/>
    <x v="0"/>
    <n v="130000"/>
    <n v="1"/>
    <x v="0"/>
    <s v="Management"/>
    <s v="Yes"/>
    <n v="4"/>
    <x v="1"/>
    <x v="2"/>
    <x v="20"/>
    <x v="0"/>
    <x v="1"/>
  </r>
  <r>
    <n v="25405"/>
    <x v="0"/>
    <x v="1"/>
    <n v="70000"/>
    <n v="2"/>
    <x v="0"/>
    <s v="Skilled Manual"/>
    <s v="Yes"/>
    <n v="1"/>
    <x v="1"/>
    <x v="2"/>
    <x v="13"/>
    <x v="0"/>
    <x v="1"/>
  </r>
  <r>
    <n v="15940"/>
    <x v="0"/>
    <x v="1"/>
    <n v="100000"/>
    <n v="4"/>
    <x v="1"/>
    <s v="Professional"/>
    <s v="Yes"/>
    <n v="4"/>
    <x v="0"/>
    <x v="2"/>
    <x v="8"/>
    <x v="0"/>
    <x v="0"/>
  </r>
  <r>
    <n v="25074"/>
    <x v="0"/>
    <x v="0"/>
    <n v="70000"/>
    <n v="4"/>
    <x v="0"/>
    <s v="Professional"/>
    <s v="Yes"/>
    <n v="2"/>
    <x v="1"/>
    <x v="2"/>
    <x v="0"/>
    <x v="0"/>
    <x v="1"/>
  </r>
  <r>
    <n v="24738"/>
    <x v="0"/>
    <x v="0"/>
    <n v="40000"/>
    <n v="1"/>
    <x v="1"/>
    <s v="Clerical"/>
    <s v="Yes"/>
    <n v="1"/>
    <x v="3"/>
    <x v="2"/>
    <x v="36"/>
    <x v="1"/>
    <x v="1"/>
  </r>
  <r>
    <n v="16337"/>
    <x v="0"/>
    <x v="1"/>
    <n v="60000"/>
    <n v="0"/>
    <x v="1"/>
    <s v="Skilled Manual"/>
    <s v="No"/>
    <n v="2"/>
    <x v="3"/>
    <x v="2"/>
    <x v="19"/>
    <x v="0"/>
    <x v="0"/>
  </r>
  <r>
    <n v="24357"/>
    <x v="0"/>
    <x v="1"/>
    <n v="80000"/>
    <n v="3"/>
    <x v="0"/>
    <s v="Professional"/>
    <s v="Yes"/>
    <n v="1"/>
    <x v="1"/>
    <x v="2"/>
    <x v="28"/>
    <x v="0"/>
    <x v="1"/>
  </r>
  <r>
    <n v="18613"/>
    <x v="1"/>
    <x v="1"/>
    <n v="70000"/>
    <n v="0"/>
    <x v="0"/>
    <s v="Professional"/>
    <s v="No"/>
    <n v="1"/>
    <x v="1"/>
    <x v="2"/>
    <x v="34"/>
    <x v="0"/>
    <x v="1"/>
  </r>
  <r>
    <n v="12207"/>
    <x v="1"/>
    <x v="1"/>
    <n v="80000"/>
    <n v="4"/>
    <x v="0"/>
    <s v="Management"/>
    <s v="Yes"/>
    <n v="0"/>
    <x v="2"/>
    <x v="2"/>
    <x v="29"/>
    <x v="1"/>
    <x v="1"/>
  </r>
  <r>
    <n v="18052"/>
    <x v="0"/>
    <x v="0"/>
    <n v="60000"/>
    <n v="1"/>
    <x v="1"/>
    <s v="Skilled Manual"/>
    <s v="Yes"/>
    <n v="1"/>
    <x v="0"/>
    <x v="2"/>
    <x v="12"/>
    <x v="0"/>
    <x v="1"/>
  </r>
  <r>
    <n v="13353"/>
    <x v="1"/>
    <x v="0"/>
    <n v="60000"/>
    <n v="4"/>
    <x v="4"/>
    <s v="Management"/>
    <s v="Yes"/>
    <n v="2"/>
    <x v="4"/>
    <x v="2"/>
    <x v="33"/>
    <x v="1"/>
    <x v="1"/>
  </r>
  <r>
    <n v="19399"/>
    <x v="1"/>
    <x v="1"/>
    <n v="40000"/>
    <n v="0"/>
    <x v="0"/>
    <s v="Professional"/>
    <s v="No"/>
    <n v="1"/>
    <x v="1"/>
    <x v="2"/>
    <x v="12"/>
    <x v="0"/>
    <x v="0"/>
  </r>
  <r>
    <n v="16154"/>
    <x v="0"/>
    <x v="0"/>
    <n v="70000"/>
    <n v="5"/>
    <x v="0"/>
    <s v="Professional"/>
    <s v="Yes"/>
    <n v="2"/>
    <x v="1"/>
    <x v="2"/>
    <x v="15"/>
    <x v="0"/>
    <x v="0"/>
  </r>
  <r>
    <n v="22219"/>
    <x v="0"/>
    <x v="0"/>
    <n v="60000"/>
    <n v="2"/>
    <x v="2"/>
    <s v="Professional"/>
    <s v="Yes"/>
    <n v="2"/>
    <x v="2"/>
    <x v="2"/>
    <x v="38"/>
    <x v="0"/>
    <x v="0"/>
  </r>
  <r>
    <n v="17269"/>
    <x v="1"/>
    <x v="1"/>
    <n v="60000"/>
    <n v="3"/>
    <x v="0"/>
    <s v="Professional"/>
    <s v="No"/>
    <n v="0"/>
    <x v="0"/>
    <x v="2"/>
    <x v="15"/>
    <x v="0"/>
    <x v="1"/>
  </r>
  <r>
    <n v="23586"/>
    <x v="0"/>
    <x v="0"/>
    <n v="80000"/>
    <n v="0"/>
    <x v="0"/>
    <s v="Management"/>
    <s v="Yes"/>
    <n v="1"/>
    <x v="3"/>
    <x v="2"/>
    <x v="17"/>
    <x v="0"/>
    <x v="1"/>
  </r>
  <r>
    <n v="15740"/>
    <x v="0"/>
    <x v="1"/>
    <n v="80000"/>
    <n v="5"/>
    <x v="0"/>
    <s v="Management"/>
    <s v="Yes"/>
    <n v="2"/>
    <x v="3"/>
    <x v="2"/>
    <x v="46"/>
    <x v="1"/>
    <x v="0"/>
  </r>
  <r>
    <n v="27638"/>
    <x v="1"/>
    <x v="1"/>
    <n v="100000"/>
    <n v="1"/>
    <x v="1"/>
    <s v="Professional"/>
    <s v="No"/>
    <n v="3"/>
    <x v="3"/>
    <x v="2"/>
    <x v="20"/>
    <x v="0"/>
    <x v="0"/>
  </r>
  <r>
    <n v="18976"/>
    <x v="1"/>
    <x v="1"/>
    <n v="40000"/>
    <n v="4"/>
    <x v="2"/>
    <s v="Professional"/>
    <s v="Yes"/>
    <n v="2"/>
    <x v="4"/>
    <x v="2"/>
    <x v="24"/>
    <x v="1"/>
    <x v="1"/>
  </r>
  <r>
    <n v="19413"/>
    <x v="1"/>
    <x v="1"/>
    <n v="60000"/>
    <n v="3"/>
    <x v="0"/>
    <s v="Professional"/>
    <s v="No"/>
    <n v="1"/>
    <x v="0"/>
    <x v="2"/>
    <x v="15"/>
    <x v="0"/>
    <x v="1"/>
  </r>
  <r>
    <n v="13283"/>
    <x v="0"/>
    <x v="1"/>
    <n v="80000"/>
    <n v="3"/>
    <x v="1"/>
    <s v="Professional"/>
    <s v="No"/>
    <n v="2"/>
    <x v="0"/>
    <x v="2"/>
    <x v="38"/>
    <x v="0"/>
    <x v="1"/>
  </r>
  <r>
    <n v="17471"/>
    <x v="1"/>
    <x v="0"/>
    <n v="80000"/>
    <n v="4"/>
    <x v="4"/>
    <s v="Management"/>
    <s v="Yes"/>
    <n v="2"/>
    <x v="2"/>
    <x v="2"/>
    <x v="41"/>
    <x v="1"/>
    <x v="0"/>
  </r>
  <r>
    <n v="16791"/>
    <x v="1"/>
    <x v="1"/>
    <n v="60000"/>
    <n v="5"/>
    <x v="0"/>
    <s v="Management"/>
    <s v="Yes"/>
    <n v="3"/>
    <x v="4"/>
    <x v="2"/>
    <x v="14"/>
    <x v="1"/>
    <x v="1"/>
  </r>
  <r>
    <n v="15382"/>
    <x v="0"/>
    <x v="0"/>
    <n v="110000"/>
    <n v="1"/>
    <x v="0"/>
    <s v="Management"/>
    <s v="Yes"/>
    <n v="2"/>
    <x v="3"/>
    <x v="2"/>
    <x v="20"/>
    <x v="0"/>
    <x v="0"/>
  </r>
  <r>
    <n v="11641"/>
    <x v="0"/>
    <x v="1"/>
    <n v="50000"/>
    <n v="1"/>
    <x v="0"/>
    <s v="Skilled Manual"/>
    <s v="Yes"/>
    <n v="0"/>
    <x v="0"/>
    <x v="2"/>
    <x v="4"/>
    <x v="0"/>
    <x v="0"/>
  </r>
  <r>
    <n v="11935"/>
    <x v="1"/>
    <x v="0"/>
    <n v="30000"/>
    <n v="0"/>
    <x v="1"/>
    <s v="Skilled Manual"/>
    <s v="Yes"/>
    <n v="1"/>
    <x v="2"/>
    <x v="2"/>
    <x v="26"/>
    <x v="0"/>
    <x v="0"/>
  </r>
  <r>
    <n v="13233"/>
    <x v="0"/>
    <x v="1"/>
    <n v="60000"/>
    <n v="2"/>
    <x v="1"/>
    <s v="Professional"/>
    <s v="Yes"/>
    <n v="1"/>
    <x v="4"/>
    <x v="2"/>
    <x v="42"/>
    <x v="1"/>
    <x v="1"/>
  </r>
  <r>
    <n v="25909"/>
    <x v="0"/>
    <x v="1"/>
    <n v="60000"/>
    <n v="0"/>
    <x v="1"/>
    <s v="Skilled Manual"/>
    <s v="Yes"/>
    <n v="1"/>
    <x v="2"/>
    <x v="2"/>
    <x v="40"/>
    <x v="0"/>
    <x v="1"/>
  </r>
  <r>
    <n v="14092"/>
    <x v="1"/>
    <x v="1"/>
    <n v="30000"/>
    <n v="0"/>
    <x v="3"/>
    <s v="Clerical"/>
    <s v="Yes"/>
    <n v="2"/>
    <x v="2"/>
    <x v="2"/>
    <x v="26"/>
    <x v="0"/>
    <x v="0"/>
  </r>
  <r>
    <n v="29143"/>
    <x v="1"/>
    <x v="0"/>
    <n v="60000"/>
    <n v="1"/>
    <x v="0"/>
    <s v="Professional"/>
    <s v="No"/>
    <n v="1"/>
    <x v="0"/>
    <x v="2"/>
    <x v="20"/>
    <x v="0"/>
    <x v="1"/>
  </r>
  <r>
    <n v="24941"/>
    <x v="0"/>
    <x v="1"/>
    <n v="60000"/>
    <n v="3"/>
    <x v="0"/>
    <s v="Management"/>
    <s v="Yes"/>
    <n v="2"/>
    <x v="4"/>
    <x v="2"/>
    <x v="29"/>
    <x v="1"/>
    <x v="0"/>
  </r>
  <r>
    <n v="24637"/>
    <x v="0"/>
    <x v="1"/>
    <n v="40000"/>
    <n v="4"/>
    <x v="2"/>
    <s v="Professional"/>
    <s v="Yes"/>
    <n v="2"/>
    <x v="4"/>
    <x v="2"/>
    <x v="46"/>
    <x v="1"/>
    <x v="0"/>
  </r>
  <r>
    <n v="23893"/>
    <x v="0"/>
    <x v="1"/>
    <n v="50000"/>
    <n v="3"/>
    <x v="0"/>
    <s v="Skilled Manual"/>
    <s v="Yes"/>
    <n v="3"/>
    <x v="4"/>
    <x v="2"/>
    <x v="3"/>
    <x v="0"/>
    <x v="0"/>
  </r>
  <r>
    <n v="13907"/>
    <x v="1"/>
    <x v="0"/>
    <n v="80000"/>
    <n v="3"/>
    <x v="0"/>
    <s v="Skilled Manual"/>
    <s v="Yes"/>
    <n v="1"/>
    <x v="0"/>
    <x v="2"/>
    <x v="3"/>
    <x v="0"/>
    <x v="1"/>
  </r>
  <r>
    <n v="14900"/>
    <x v="0"/>
    <x v="0"/>
    <n v="40000"/>
    <n v="1"/>
    <x v="1"/>
    <s v="Clerical"/>
    <s v="Yes"/>
    <n v="1"/>
    <x v="3"/>
    <x v="2"/>
    <x v="38"/>
    <x v="0"/>
    <x v="1"/>
  </r>
  <r>
    <n v="11262"/>
    <x v="0"/>
    <x v="0"/>
    <n v="80000"/>
    <n v="4"/>
    <x v="0"/>
    <s v="Management"/>
    <s v="Yes"/>
    <n v="0"/>
    <x v="0"/>
    <x v="2"/>
    <x v="0"/>
    <x v="0"/>
    <x v="0"/>
  </r>
  <r>
    <n v="22294"/>
    <x v="1"/>
    <x v="0"/>
    <n v="70000"/>
    <n v="0"/>
    <x v="0"/>
    <s v="Professional"/>
    <s v="No"/>
    <n v="1"/>
    <x v="1"/>
    <x v="2"/>
    <x v="34"/>
    <x v="0"/>
    <x v="1"/>
  </r>
  <r>
    <n v="12195"/>
    <x v="1"/>
    <x v="0"/>
    <n v="70000"/>
    <n v="3"/>
    <x v="4"/>
    <s v="Management"/>
    <s v="Yes"/>
    <n v="2"/>
    <x v="3"/>
    <x v="2"/>
    <x v="31"/>
    <x v="1"/>
    <x v="0"/>
  </r>
  <r>
    <n v="25375"/>
    <x v="0"/>
    <x v="1"/>
    <n v="50000"/>
    <n v="1"/>
    <x v="4"/>
    <s v="Skilled Manual"/>
    <s v="Yes"/>
    <n v="0"/>
    <x v="3"/>
    <x v="2"/>
    <x v="17"/>
    <x v="0"/>
    <x v="0"/>
  </r>
  <r>
    <n v="11143"/>
    <x v="0"/>
    <x v="1"/>
    <n v="40000"/>
    <n v="0"/>
    <x v="2"/>
    <s v="Skilled Manual"/>
    <s v="Yes"/>
    <n v="2"/>
    <x v="2"/>
    <x v="2"/>
    <x v="19"/>
    <x v="0"/>
    <x v="0"/>
  </r>
  <r>
    <n v="25898"/>
    <x v="0"/>
    <x v="0"/>
    <n v="70000"/>
    <n v="2"/>
    <x v="2"/>
    <s v="Professional"/>
    <s v="Yes"/>
    <n v="2"/>
    <x v="1"/>
    <x v="2"/>
    <x v="39"/>
    <x v="1"/>
    <x v="0"/>
  </r>
  <r>
    <n v="24397"/>
    <x v="1"/>
    <x v="1"/>
    <n v="120000"/>
    <n v="2"/>
    <x v="0"/>
    <s v="Management"/>
    <s v="No"/>
    <n v="4"/>
    <x v="3"/>
    <x v="2"/>
    <x v="8"/>
    <x v="0"/>
    <x v="0"/>
  </r>
  <r>
    <n v="19758"/>
    <x v="1"/>
    <x v="1"/>
    <n v="60000"/>
    <n v="0"/>
    <x v="1"/>
    <s v="Skilled Manual"/>
    <s v="No"/>
    <n v="2"/>
    <x v="3"/>
    <x v="2"/>
    <x v="19"/>
    <x v="0"/>
    <x v="0"/>
  </r>
  <r>
    <n v="15529"/>
    <x v="0"/>
    <x v="1"/>
    <n v="60000"/>
    <n v="4"/>
    <x v="0"/>
    <s v="Professional"/>
    <s v="Yes"/>
    <n v="2"/>
    <x v="1"/>
    <x v="2"/>
    <x v="1"/>
    <x v="0"/>
    <x v="1"/>
  </r>
  <r>
    <n v="19884"/>
    <x v="0"/>
    <x v="1"/>
    <n v="60000"/>
    <n v="2"/>
    <x v="2"/>
    <s v="Professional"/>
    <s v="Yes"/>
    <n v="2"/>
    <x v="1"/>
    <x v="2"/>
    <x v="10"/>
    <x v="1"/>
    <x v="1"/>
  </r>
  <r>
    <n v="18674"/>
    <x v="1"/>
    <x v="0"/>
    <n v="80000"/>
    <n v="4"/>
    <x v="4"/>
    <s v="Skilled Manual"/>
    <s v="No"/>
    <n v="0"/>
    <x v="0"/>
    <x v="2"/>
    <x v="28"/>
    <x v="0"/>
    <x v="0"/>
  </r>
  <r>
    <n v="13453"/>
    <x v="0"/>
    <x v="0"/>
    <n v="130000"/>
    <n v="3"/>
    <x v="0"/>
    <s v="Management"/>
    <s v="Yes"/>
    <n v="3"/>
    <x v="0"/>
    <x v="2"/>
    <x v="12"/>
    <x v="0"/>
    <x v="1"/>
  </r>
  <r>
    <n v="14063"/>
    <x v="1"/>
    <x v="0"/>
    <n v="70000"/>
    <n v="0"/>
    <x v="0"/>
    <s v="Professional"/>
    <s v="No"/>
    <n v="1"/>
    <x v="0"/>
    <x v="1"/>
    <x v="0"/>
    <x v="0"/>
    <x v="1"/>
  </r>
  <r>
    <n v="27393"/>
    <x v="0"/>
    <x v="0"/>
    <n v="50000"/>
    <n v="4"/>
    <x v="0"/>
    <s v="Management"/>
    <s v="Yes"/>
    <n v="2"/>
    <x v="4"/>
    <x v="2"/>
    <x v="18"/>
    <x v="1"/>
    <x v="0"/>
  </r>
  <r>
    <n v="14417"/>
    <x v="1"/>
    <x v="1"/>
    <n v="60000"/>
    <n v="3"/>
    <x v="2"/>
    <s v="Professional"/>
    <s v="Yes"/>
    <n v="2"/>
    <x v="4"/>
    <x v="2"/>
    <x v="9"/>
    <x v="1"/>
    <x v="1"/>
  </r>
  <r>
    <n v="17533"/>
    <x v="0"/>
    <x v="1"/>
    <n v="40000"/>
    <n v="3"/>
    <x v="1"/>
    <s v="Professional"/>
    <s v="No"/>
    <n v="2"/>
    <x v="2"/>
    <x v="2"/>
    <x v="49"/>
    <x v="1"/>
    <x v="1"/>
  </r>
  <r>
    <n v="18580"/>
    <x v="0"/>
    <x v="0"/>
    <n v="60000"/>
    <n v="2"/>
    <x v="4"/>
    <s v="Professional"/>
    <s v="Yes"/>
    <n v="0"/>
    <x v="1"/>
    <x v="2"/>
    <x v="8"/>
    <x v="0"/>
    <x v="1"/>
  </r>
  <r>
    <n v="17025"/>
    <x v="1"/>
    <x v="1"/>
    <n v="50000"/>
    <n v="0"/>
    <x v="1"/>
    <s v="Skilled Manual"/>
    <s v="No"/>
    <n v="1"/>
    <x v="1"/>
    <x v="2"/>
    <x v="32"/>
    <x v="0"/>
    <x v="1"/>
  </r>
  <r>
    <n v="25293"/>
    <x v="0"/>
    <x v="1"/>
    <n v="80000"/>
    <n v="4"/>
    <x v="0"/>
    <s v="Management"/>
    <s v="Yes"/>
    <n v="0"/>
    <x v="3"/>
    <x v="2"/>
    <x v="0"/>
    <x v="0"/>
    <x v="0"/>
  </r>
  <r>
    <n v="24725"/>
    <x v="0"/>
    <x v="0"/>
    <n v="40000"/>
    <n v="3"/>
    <x v="1"/>
    <s v="Clerical"/>
    <s v="Yes"/>
    <n v="0"/>
    <x v="3"/>
    <x v="2"/>
    <x v="23"/>
    <x v="0"/>
    <x v="0"/>
  </r>
  <r>
    <n v="23200"/>
    <x v="0"/>
    <x v="0"/>
    <n v="50000"/>
    <n v="3"/>
    <x v="0"/>
    <s v="Skilled Manual"/>
    <s v="Yes"/>
    <n v="2"/>
    <x v="0"/>
    <x v="2"/>
    <x v="3"/>
    <x v="0"/>
    <x v="0"/>
  </r>
  <r>
    <n v="15895"/>
    <x v="1"/>
    <x v="0"/>
    <n v="60000"/>
    <n v="2"/>
    <x v="0"/>
    <s v="Management"/>
    <s v="Yes"/>
    <n v="0"/>
    <x v="4"/>
    <x v="2"/>
    <x v="7"/>
    <x v="1"/>
    <x v="0"/>
  </r>
  <r>
    <n v="18577"/>
    <x v="0"/>
    <x v="0"/>
    <n v="60000"/>
    <n v="0"/>
    <x v="4"/>
    <s v="Professional"/>
    <s v="Yes"/>
    <n v="0"/>
    <x v="0"/>
    <x v="2"/>
    <x v="8"/>
    <x v="0"/>
    <x v="0"/>
  </r>
  <r>
    <n v="27218"/>
    <x v="0"/>
    <x v="0"/>
    <n v="20000"/>
    <n v="2"/>
    <x v="3"/>
    <s v="Clerical"/>
    <s v="No"/>
    <n v="0"/>
    <x v="0"/>
    <x v="2"/>
    <x v="28"/>
    <x v="0"/>
    <x v="0"/>
  </r>
  <r>
    <n v="18560"/>
    <x v="0"/>
    <x v="0"/>
    <n v="70000"/>
    <n v="2"/>
    <x v="4"/>
    <s v="Professional"/>
    <s v="Yes"/>
    <n v="0"/>
    <x v="1"/>
    <x v="2"/>
    <x v="17"/>
    <x v="0"/>
    <x v="1"/>
  </r>
  <r>
    <n v="25006"/>
    <x v="1"/>
    <x v="0"/>
    <n v="30000"/>
    <n v="0"/>
    <x v="1"/>
    <s v="Skilled Manual"/>
    <s v="Yes"/>
    <n v="1"/>
    <x v="2"/>
    <x v="2"/>
    <x v="26"/>
    <x v="0"/>
    <x v="0"/>
  </r>
  <r>
    <n v="17369"/>
    <x v="1"/>
    <x v="1"/>
    <n v="30000"/>
    <n v="0"/>
    <x v="1"/>
    <s v="Skilled Manual"/>
    <s v="Yes"/>
    <n v="1"/>
    <x v="2"/>
    <x v="2"/>
    <x v="40"/>
    <x v="0"/>
    <x v="0"/>
  </r>
  <r>
    <n v="14495"/>
    <x v="0"/>
    <x v="1"/>
    <n v="40000"/>
    <n v="3"/>
    <x v="1"/>
    <s v="Professional"/>
    <s v="No"/>
    <n v="2"/>
    <x v="2"/>
    <x v="2"/>
    <x v="9"/>
    <x v="1"/>
    <x v="1"/>
  </r>
  <r>
    <n v="18847"/>
    <x v="0"/>
    <x v="0"/>
    <n v="60000"/>
    <n v="2"/>
    <x v="4"/>
    <s v="Management"/>
    <s v="Yes"/>
    <n v="2"/>
    <x v="2"/>
    <x v="2"/>
    <x v="43"/>
    <x v="1"/>
    <x v="0"/>
  </r>
  <r>
    <n v="14754"/>
    <x v="0"/>
    <x v="1"/>
    <n v="40000"/>
    <n v="1"/>
    <x v="1"/>
    <s v="Clerical"/>
    <s v="Yes"/>
    <n v="1"/>
    <x v="3"/>
    <x v="2"/>
    <x v="28"/>
    <x v="0"/>
    <x v="1"/>
  </r>
  <r>
    <n v="23378"/>
    <x v="0"/>
    <x v="1"/>
    <n v="70000"/>
    <n v="1"/>
    <x v="1"/>
    <s v="Skilled Manual"/>
    <s v="Yes"/>
    <n v="1"/>
    <x v="1"/>
    <x v="2"/>
    <x v="20"/>
    <x v="0"/>
    <x v="1"/>
  </r>
  <r>
    <n v="26452"/>
    <x v="1"/>
    <x v="1"/>
    <n v="50000"/>
    <n v="3"/>
    <x v="4"/>
    <s v="Management"/>
    <s v="Yes"/>
    <n v="2"/>
    <x v="4"/>
    <x v="2"/>
    <x v="45"/>
    <x v="1"/>
    <x v="0"/>
  </r>
  <r>
    <n v="20370"/>
    <x v="0"/>
    <x v="1"/>
    <n v="70000"/>
    <n v="3"/>
    <x v="3"/>
    <s v="Skilled Manual"/>
    <s v="Yes"/>
    <n v="2"/>
    <x v="2"/>
    <x v="2"/>
    <x v="31"/>
    <x v="1"/>
    <x v="0"/>
  </r>
  <r>
    <n v="20528"/>
    <x v="0"/>
    <x v="1"/>
    <n v="40000"/>
    <n v="2"/>
    <x v="3"/>
    <s v="Skilled Manual"/>
    <s v="Yes"/>
    <n v="2"/>
    <x v="1"/>
    <x v="2"/>
    <x v="10"/>
    <x v="1"/>
    <x v="0"/>
  </r>
  <r>
    <n v="23549"/>
    <x v="1"/>
    <x v="1"/>
    <n v="30000"/>
    <n v="0"/>
    <x v="2"/>
    <s v="Skilled Manual"/>
    <s v="Yes"/>
    <n v="2"/>
    <x v="2"/>
    <x v="2"/>
    <x v="25"/>
    <x v="0"/>
    <x v="0"/>
  </r>
  <r>
    <n v="21751"/>
    <x v="0"/>
    <x v="1"/>
    <n v="60000"/>
    <n v="3"/>
    <x v="4"/>
    <s v="Management"/>
    <s v="Yes"/>
    <n v="2"/>
    <x v="3"/>
    <x v="2"/>
    <x v="18"/>
    <x v="1"/>
    <x v="0"/>
  </r>
  <r>
    <n v="21266"/>
    <x v="1"/>
    <x v="0"/>
    <n v="80000"/>
    <n v="0"/>
    <x v="0"/>
    <s v="Management"/>
    <s v="Yes"/>
    <n v="1"/>
    <x v="3"/>
    <x v="2"/>
    <x v="17"/>
    <x v="0"/>
    <x v="1"/>
  </r>
  <r>
    <n v="13388"/>
    <x v="1"/>
    <x v="1"/>
    <n v="60000"/>
    <n v="2"/>
    <x v="1"/>
    <s v="Professional"/>
    <s v="Yes"/>
    <n v="1"/>
    <x v="4"/>
    <x v="2"/>
    <x v="16"/>
    <x v="1"/>
    <x v="0"/>
  </r>
  <r>
    <n v="18752"/>
    <x v="1"/>
    <x v="0"/>
    <n v="40000"/>
    <n v="0"/>
    <x v="2"/>
    <s v="Skilled Manual"/>
    <s v="Yes"/>
    <n v="1"/>
    <x v="2"/>
    <x v="2"/>
    <x v="23"/>
    <x v="0"/>
    <x v="0"/>
  </r>
  <r>
    <n v="16917"/>
    <x v="0"/>
    <x v="1"/>
    <n v="120000"/>
    <n v="1"/>
    <x v="0"/>
    <s v="Management"/>
    <s v="Yes"/>
    <n v="4"/>
    <x v="0"/>
    <x v="2"/>
    <x v="13"/>
    <x v="0"/>
    <x v="0"/>
  </r>
  <r>
    <n v="15313"/>
    <x v="0"/>
    <x v="1"/>
    <n v="60000"/>
    <n v="4"/>
    <x v="0"/>
    <s v="Management"/>
    <s v="Yes"/>
    <n v="2"/>
    <x v="1"/>
    <x v="2"/>
    <x v="14"/>
    <x v="1"/>
    <x v="0"/>
  </r>
  <r>
    <n v="25329"/>
    <x v="1"/>
    <x v="0"/>
    <n v="40000"/>
    <n v="3"/>
    <x v="1"/>
    <s v="Clerical"/>
    <s v="No"/>
    <n v="2"/>
    <x v="0"/>
    <x v="2"/>
    <x v="21"/>
    <x v="0"/>
    <x v="0"/>
  </r>
  <r>
    <n v="20380"/>
    <x v="0"/>
    <x v="0"/>
    <n v="60000"/>
    <n v="3"/>
    <x v="4"/>
    <s v="Management"/>
    <s v="Yes"/>
    <n v="2"/>
    <x v="4"/>
    <x v="2"/>
    <x v="45"/>
    <x v="1"/>
    <x v="0"/>
  </r>
  <r>
    <n v="23089"/>
    <x v="0"/>
    <x v="1"/>
    <n v="40000"/>
    <n v="0"/>
    <x v="1"/>
    <s v="Skilled Manual"/>
    <s v="Yes"/>
    <n v="1"/>
    <x v="2"/>
    <x v="2"/>
    <x v="26"/>
    <x v="0"/>
    <x v="0"/>
  </r>
  <r>
    <n v="13749"/>
    <x v="0"/>
    <x v="1"/>
    <n v="80000"/>
    <n v="4"/>
    <x v="4"/>
    <s v="Skilled Manual"/>
    <s v="Yes"/>
    <n v="0"/>
    <x v="3"/>
    <x v="2"/>
    <x v="15"/>
    <x v="0"/>
    <x v="0"/>
  </r>
  <r>
    <n v="24943"/>
    <x v="0"/>
    <x v="1"/>
    <n v="60000"/>
    <n v="3"/>
    <x v="0"/>
    <s v="Management"/>
    <s v="Yes"/>
    <n v="2"/>
    <x v="4"/>
    <x v="2"/>
    <x v="29"/>
    <x v="1"/>
    <x v="0"/>
  </r>
  <r>
    <n v="28667"/>
    <x v="1"/>
    <x v="1"/>
    <n v="70000"/>
    <n v="2"/>
    <x v="0"/>
    <s v="Skilled Manual"/>
    <s v="No"/>
    <n v="1"/>
    <x v="0"/>
    <x v="2"/>
    <x v="34"/>
    <x v="0"/>
    <x v="1"/>
  </r>
  <r>
    <n v="15194"/>
    <x v="1"/>
    <x v="1"/>
    <n v="120000"/>
    <n v="2"/>
    <x v="0"/>
    <s v="Management"/>
    <s v="No"/>
    <n v="3"/>
    <x v="0"/>
    <x v="2"/>
    <x v="32"/>
    <x v="0"/>
    <x v="1"/>
  </r>
  <r>
    <n v="17436"/>
    <x v="0"/>
    <x v="1"/>
    <n v="60000"/>
    <n v="2"/>
    <x v="2"/>
    <s v="Professional"/>
    <s v="No"/>
    <n v="2"/>
    <x v="3"/>
    <x v="2"/>
    <x v="36"/>
    <x v="1"/>
    <x v="0"/>
  </r>
  <r>
    <n v="18935"/>
    <x v="0"/>
    <x v="0"/>
    <n v="130000"/>
    <n v="0"/>
    <x v="4"/>
    <s v="Management"/>
    <s v="Yes"/>
    <n v="3"/>
    <x v="3"/>
    <x v="2"/>
    <x v="8"/>
    <x v="0"/>
    <x v="0"/>
  </r>
  <r>
    <n v="16871"/>
    <x v="0"/>
    <x v="0"/>
    <n v="90000"/>
    <n v="2"/>
    <x v="2"/>
    <s v="Professional"/>
    <s v="Yes"/>
    <n v="1"/>
    <x v="4"/>
    <x v="2"/>
    <x v="36"/>
    <x v="1"/>
    <x v="1"/>
  </r>
  <r>
    <n v="12100"/>
    <x v="1"/>
    <x v="1"/>
    <n v="60000"/>
    <n v="2"/>
    <x v="0"/>
    <s v="Management"/>
    <s v="Yes"/>
    <n v="0"/>
    <x v="4"/>
    <x v="2"/>
    <x v="42"/>
    <x v="1"/>
    <x v="0"/>
  </r>
  <r>
    <n v="23158"/>
    <x v="0"/>
    <x v="0"/>
    <n v="60000"/>
    <n v="1"/>
    <x v="4"/>
    <s v="Professional"/>
    <s v="No"/>
    <n v="0"/>
    <x v="0"/>
    <x v="2"/>
    <x v="11"/>
    <x v="0"/>
    <x v="1"/>
  </r>
  <r>
    <n v="18545"/>
    <x v="0"/>
    <x v="1"/>
    <n v="40000"/>
    <n v="4"/>
    <x v="2"/>
    <s v="Professional"/>
    <s v="No"/>
    <n v="2"/>
    <x v="4"/>
    <x v="2"/>
    <x v="33"/>
    <x v="1"/>
    <x v="1"/>
  </r>
  <r>
    <n v="18391"/>
    <x v="1"/>
    <x v="0"/>
    <n v="80000"/>
    <n v="5"/>
    <x v="1"/>
    <s v="Professional"/>
    <s v="Yes"/>
    <n v="2"/>
    <x v="2"/>
    <x v="2"/>
    <x v="20"/>
    <x v="0"/>
    <x v="0"/>
  </r>
  <r>
    <n v="19812"/>
    <x v="1"/>
    <x v="0"/>
    <n v="70000"/>
    <n v="2"/>
    <x v="1"/>
    <s v="Professional"/>
    <s v="Yes"/>
    <n v="0"/>
    <x v="2"/>
    <x v="2"/>
    <x v="38"/>
    <x v="0"/>
    <x v="1"/>
  </r>
  <r>
    <n v="27660"/>
    <x v="0"/>
    <x v="1"/>
    <n v="80000"/>
    <n v="4"/>
    <x v="4"/>
    <s v="Management"/>
    <s v="Yes"/>
    <n v="2"/>
    <x v="2"/>
    <x v="2"/>
    <x v="43"/>
    <x v="1"/>
    <x v="0"/>
  </r>
  <r>
    <n v="18058"/>
    <x v="1"/>
    <x v="0"/>
    <n v="20000"/>
    <n v="3"/>
    <x v="2"/>
    <s v="Skilled Manual"/>
    <s v="Yes"/>
    <n v="2"/>
    <x v="1"/>
    <x v="2"/>
    <x v="44"/>
    <x v="1"/>
    <x v="0"/>
  </r>
  <r>
    <n v="20343"/>
    <x v="0"/>
    <x v="0"/>
    <n v="90000"/>
    <n v="4"/>
    <x v="1"/>
    <s v="Professional"/>
    <s v="Yes"/>
    <n v="1"/>
    <x v="3"/>
    <x v="2"/>
    <x v="12"/>
    <x v="0"/>
    <x v="0"/>
  </r>
  <r>
    <n v="28997"/>
    <x v="1"/>
    <x v="1"/>
    <n v="40000"/>
    <n v="2"/>
    <x v="2"/>
    <s v="Professional"/>
    <s v="No"/>
    <n v="1"/>
    <x v="1"/>
    <x v="2"/>
    <x v="7"/>
    <x v="1"/>
    <x v="1"/>
  </r>
  <r>
    <n v="24398"/>
    <x v="0"/>
    <x v="1"/>
    <n v="130000"/>
    <n v="1"/>
    <x v="4"/>
    <s v="Management"/>
    <s v="Yes"/>
    <n v="4"/>
    <x v="0"/>
    <x v="2"/>
    <x v="3"/>
    <x v="0"/>
    <x v="0"/>
  </r>
  <r>
    <n v="19002"/>
    <x v="0"/>
    <x v="0"/>
    <n v="60000"/>
    <n v="2"/>
    <x v="1"/>
    <s v="Professional"/>
    <s v="Yes"/>
    <n v="1"/>
    <x v="1"/>
    <x v="2"/>
    <x v="42"/>
    <x v="1"/>
    <x v="1"/>
  </r>
  <r>
    <n v="28609"/>
    <x v="0"/>
    <x v="1"/>
    <n v="30000"/>
    <n v="2"/>
    <x v="2"/>
    <s v="Skilled Manual"/>
    <s v="No"/>
    <n v="2"/>
    <x v="0"/>
    <x v="2"/>
    <x v="38"/>
    <x v="0"/>
    <x v="0"/>
  </r>
  <r>
    <n v="29231"/>
    <x v="1"/>
    <x v="1"/>
    <n v="80000"/>
    <n v="4"/>
    <x v="1"/>
    <s v="Professional"/>
    <s v="No"/>
    <n v="2"/>
    <x v="0"/>
    <x v="2"/>
    <x v="1"/>
    <x v="0"/>
    <x v="0"/>
  </r>
  <r>
    <n v="18858"/>
    <x v="1"/>
    <x v="1"/>
    <n v="60000"/>
    <n v="2"/>
    <x v="3"/>
    <s v="Skilled Manual"/>
    <s v="Yes"/>
    <n v="2"/>
    <x v="2"/>
    <x v="2"/>
    <x v="31"/>
    <x v="1"/>
    <x v="1"/>
  </r>
  <r>
    <n v="20000"/>
    <x v="0"/>
    <x v="1"/>
    <n v="60000"/>
    <n v="1"/>
    <x v="4"/>
    <s v="Professional"/>
    <s v="Yes"/>
    <n v="0"/>
    <x v="0"/>
    <x v="2"/>
    <x v="11"/>
    <x v="0"/>
    <x v="1"/>
  </r>
  <r>
    <n v="25261"/>
    <x v="0"/>
    <x v="1"/>
    <n v="40000"/>
    <n v="0"/>
    <x v="2"/>
    <s v="Skilled Manual"/>
    <s v="Yes"/>
    <n v="2"/>
    <x v="2"/>
    <x v="2"/>
    <x v="40"/>
    <x v="0"/>
    <x v="0"/>
  </r>
  <r>
    <n v="17458"/>
    <x v="1"/>
    <x v="1"/>
    <n v="70000"/>
    <n v="3"/>
    <x v="2"/>
    <s v="Professional"/>
    <s v="Yes"/>
    <n v="0"/>
    <x v="2"/>
    <x v="2"/>
    <x v="31"/>
    <x v="1"/>
    <x v="1"/>
  </r>
  <r>
    <n v="11644"/>
    <x v="1"/>
    <x v="1"/>
    <n v="40000"/>
    <n v="2"/>
    <x v="0"/>
    <s v="Skilled Manual"/>
    <s v="Yes"/>
    <n v="0"/>
    <x v="1"/>
    <x v="2"/>
    <x v="4"/>
    <x v="0"/>
    <x v="0"/>
  </r>
  <r>
    <n v="16145"/>
    <x v="1"/>
    <x v="0"/>
    <n v="70000"/>
    <n v="5"/>
    <x v="4"/>
    <s v="Professional"/>
    <s v="Yes"/>
    <n v="3"/>
    <x v="4"/>
    <x v="2"/>
    <x v="30"/>
    <x v="0"/>
    <x v="1"/>
  </r>
  <r>
    <n v="16890"/>
    <x v="0"/>
    <x v="1"/>
    <n v="60000"/>
    <n v="3"/>
    <x v="3"/>
    <s v="Skilled Manual"/>
    <s v="Yes"/>
    <n v="2"/>
    <x v="2"/>
    <x v="2"/>
    <x v="31"/>
    <x v="1"/>
    <x v="1"/>
  </r>
  <r>
    <n v="25983"/>
    <x v="0"/>
    <x v="1"/>
    <n v="70000"/>
    <n v="0"/>
    <x v="0"/>
    <s v="Professional"/>
    <s v="No"/>
    <n v="1"/>
    <x v="0"/>
    <x v="2"/>
    <x v="1"/>
    <x v="0"/>
    <x v="0"/>
  </r>
  <r>
    <n v="14633"/>
    <x v="0"/>
    <x v="1"/>
    <n v="60000"/>
    <n v="1"/>
    <x v="1"/>
    <s v="Skilled Manual"/>
    <s v="Yes"/>
    <n v="1"/>
    <x v="1"/>
    <x v="2"/>
    <x v="20"/>
    <x v="0"/>
    <x v="0"/>
  </r>
  <r>
    <n v="22994"/>
    <x v="0"/>
    <x v="0"/>
    <n v="80000"/>
    <n v="0"/>
    <x v="0"/>
    <s v="Management"/>
    <s v="Yes"/>
    <n v="1"/>
    <x v="3"/>
    <x v="2"/>
    <x v="17"/>
    <x v="0"/>
    <x v="1"/>
  </r>
  <r>
    <n v="22983"/>
    <x v="1"/>
    <x v="0"/>
    <n v="30000"/>
    <n v="0"/>
    <x v="3"/>
    <s v="Clerical"/>
    <s v="Yes"/>
    <n v="2"/>
    <x v="2"/>
    <x v="2"/>
    <x v="40"/>
    <x v="0"/>
    <x v="0"/>
  </r>
  <r>
    <n v="25184"/>
    <x v="1"/>
    <x v="1"/>
    <n v="110000"/>
    <n v="1"/>
    <x v="1"/>
    <s v="Professional"/>
    <s v="Yes"/>
    <n v="4"/>
    <x v="2"/>
    <x v="2"/>
    <x v="12"/>
    <x v="0"/>
    <x v="1"/>
  </r>
  <r>
    <n v="14469"/>
    <x v="0"/>
    <x v="0"/>
    <n v="100000"/>
    <n v="3"/>
    <x v="1"/>
    <s v="Professional"/>
    <s v="Yes"/>
    <n v="4"/>
    <x v="3"/>
    <x v="2"/>
    <x v="12"/>
    <x v="0"/>
    <x v="0"/>
  </r>
  <r>
    <n v="11538"/>
    <x v="1"/>
    <x v="0"/>
    <n v="60000"/>
    <n v="4"/>
    <x v="4"/>
    <s v="Skilled Manual"/>
    <s v="No"/>
    <n v="0"/>
    <x v="0"/>
    <x v="2"/>
    <x v="15"/>
    <x v="0"/>
    <x v="1"/>
  </r>
  <r>
    <n v="16245"/>
    <x v="1"/>
    <x v="0"/>
    <n v="80000"/>
    <n v="4"/>
    <x v="4"/>
    <s v="Skilled Manual"/>
    <s v="Yes"/>
    <n v="0"/>
    <x v="3"/>
    <x v="2"/>
    <x v="15"/>
    <x v="0"/>
    <x v="0"/>
  </r>
  <r>
    <n v="17858"/>
    <x v="0"/>
    <x v="1"/>
    <n v="40000"/>
    <n v="4"/>
    <x v="2"/>
    <s v="Skilled Manual"/>
    <s v="Yes"/>
    <n v="2"/>
    <x v="1"/>
    <x v="2"/>
    <x v="20"/>
    <x v="0"/>
    <x v="1"/>
  </r>
  <r>
    <n v="25347"/>
    <x v="1"/>
    <x v="0"/>
    <n v="20000"/>
    <n v="3"/>
    <x v="3"/>
    <s v="Clerical"/>
    <s v="No"/>
    <n v="2"/>
    <x v="0"/>
    <x v="2"/>
    <x v="38"/>
    <x v="0"/>
    <x v="0"/>
  </r>
  <r>
    <n v="15814"/>
    <x v="1"/>
    <x v="0"/>
    <n v="40000"/>
    <n v="0"/>
    <x v="2"/>
    <s v="Skilled Manual"/>
    <s v="Yes"/>
    <n v="1"/>
    <x v="2"/>
    <x v="2"/>
    <x v="25"/>
    <x v="0"/>
    <x v="0"/>
  </r>
  <r>
    <n v="11259"/>
    <x v="0"/>
    <x v="0"/>
    <n v="100000"/>
    <n v="4"/>
    <x v="1"/>
    <s v="Professional"/>
    <s v="Yes"/>
    <n v="4"/>
    <x v="1"/>
    <x v="2"/>
    <x v="3"/>
    <x v="0"/>
    <x v="1"/>
  </r>
  <r>
    <n v="11200"/>
    <x v="0"/>
    <x v="1"/>
    <n v="70000"/>
    <n v="4"/>
    <x v="0"/>
    <s v="Management"/>
    <s v="Yes"/>
    <n v="1"/>
    <x v="3"/>
    <x v="2"/>
    <x v="7"/>
    <x v="1"/>
    <x v="0"/>
  </r>
  <r>
    <n v="25101"/>
    <x v="0"/>
    <x v="1"/>
    <n v="60000"/>
    <n v="5"/>
    <x v="0"/>
    <s v="Professional"/>
    <s v="Yes"/>
    <n v="1"/>
    <x v="1"/>
    <x v="2"/>
    <x v="15"/>
    <x v="0"/>
    <x v="0"/>
  </r>
  <r>
    <n v="21801"/>
    <x v="0"/>
    <x v="0"/>
    <n v="70000"/>
    <n v="4"/>
    <x v="1"/>
    <s v="Professional"/>
    <s v="Yes"/>
    <n v="1"/>
    <x v="3"/>
    <x v="2"/>
    <x v="10"/>
    <x v="1"/>
    <x v="0"/>
  </r>
  <r>
    <n v="25943"/>
    <x v="1"/>
    <x v="0"/>
    <n v="70000"/>
    <n v="0"/>
    <x v="1"/>
    <s v="Skilled Manual"/>
    <s v="No"/>
    <n v="2"/>
    <x v="0"/>
    <x v="2"/>
    <x v="40"/>
    <x v="0"/>
    <x v="1"/>
  </r>
  <r>
    <n v="22127"/>
    <x v="0"/>
    <x v="1"/>
    <n v="60000"/>
    <n v="3"/>
    <x v="4"/>
    <s v="Management"/>
    <s v="Yes"/>
    <n v="2"/>
    <x v="3"/>
    <x v="2"/>
    <x v="41"/>
    <x v="1"/>
    <x v="0"/>
  </r>
  <r>
    <n v="20414"/>
    <x v="0"/>
    <x v="0"/>
    <n v="60000"/>
    <n v="0"/>
    <x v="1"/>
    <s v="Skilled Manual"/>
    <s v="Yes"/>
    <n v="2"/>
    <x v="2"/>
    <x v="2"/>
    <x v="19"/>
    <x v="0"/>
    <x v="0"/>
  </r>
  <r>
    <n v="23672"/>
    <x v="0"/>
    <x v="0"/>
    <n v="60000"/>
    <n v="3"/>
    <x v="4"/>
    <s v="Management"/>
    <s v="Yes"/>
    <n v="2"/>
    <x v="3"/>
    <x v="2"/>
    <x v="41"/>
    <x v="1"/>
    <x v="0"/>
  </r>
  <r>
    <n v="29255"/>
    <x v="1"/>
    <x v="1"/>
    <n v="80000"/>
    <n v="3"/>
    <x v="1"/>
    <s v="Professional"/>
    <s v="No"/>
    <n v="1"/>
    <x v="3"/>
    <x v="2"/>
    <x v="36"/>
    <x v="1"/>
    <x v="1"/>
  </r>
  <r>
    <n v="28815"/>
    <x v="0"/>
    <x v="0"/>
    <n v="50000"/>
    <n v="1"/>
    <x v="4"/>
    <s v="Skilled Manual"/>
    <s v="Yes"/>
    <n v="0"/>
    <x v="0"/>
    <x v="2"/>
    <x v="11"/>
    <x v="0"/>
    <x v="0"/>
  </r>
  <r>
    <n v="27753"/>
    <x v="0"/>
    <x v="1"/>
    <n v="40000"/>
    <n v="0"/>
    <x v="2"/>
    <s v="Skilled Manual"/>
    <s v="No"/>
    <n v="2"/>
    <x v="3"/>
    <x v="2"/>
    <x v="25"/>
    <x v="0"/>
    <x v="0"/>
  </r>
  <r>
    <n v="27643"/>
    <x v="1"/>
    <x v="1"/>
    <n v="70000"/>
    <n v="5"/>
    <x v="1"/>
    <s v="Professional"/>
    <s v="Yes"/>
    <n v="3"/>
    <x v="1"/>
    <x v="2"/>
    <x v="20"/>
    <x v="0"/>
    <x v="0"/>
  </r>
  <r>
    <n v="13754"/>
    <x v="1"/>
    <x v="0"/>
    <n v="80000"/>
    <n v="4"/>
    <x v="4"/>
    <s v="Skilled Manual"/>
    <s v="Yes"/>
    <n v="0"/>
    <x v="3"/>
    <x v="2"/>
    <x v="28"/>
    <x v="0"/>
    <x v="0"/>
  </r>
  <r>
    <n v="22088"/>
    <x v="0"/>
    <x v="0"/>
    <n v="130000"/>
    <n v="1"/>
    <x v="0"/>
    <s v="Management"/>
    <s v="Yes"/>
    <n v="2"/>
    <x v="0"/>
    <x v="2"/>
    <x v="12"/>
    <x v="0"/>
    <x v="1"/>
  </r>
  <r>
    <n v="27388"/>
    <x v="0"/>
    <x v="1"/>
    <n v="60000"/>
    <n v="3"/>
    <x v="0"/>
    <s v="Management"/>
    <s v="No"/>
    <n v="2"/>
    <x v="3"/>
    <x v="2"/>
    <x v="29"/>
    <x v="1"/>
    <x v="0"/>
  </r>
  <r>
    <n v="24745"/>
    <x v="1"/>
    <x v="0"/>
    <n v="30000"/>
    <n v="2"/>
    <x v="2"/>
    <s v="Skilled Manual"/>
    <s v="No"/>
    <n v="2"/>
    <x v="0"/>
    <x v="2"/>
    <x v="38"/>
    <x v="0"/>
    <x v="0"/>
  </r>
  <r>
    <n v="29237"/>
    <x v="1"/>
    <x v="0"/>
    <n v="120000"/>
    <n v="4"/>
    <x v="1"/>
    <s v="Professional"/>
    <s v="Yes"/>
    <n v="3"/>
    <x v="2"/>
    <x v="2"/>
    <x v="1"/>
    <x v="0"/>
    <x v="1"/>
  </r>
  <r>
    <n v="15272"/>
    <x v="1"/>
    <x v="1"/>
    <n v="40000"/>
    <n v="0"/>
    <x v="2"/>
    <s v="Skilled Manual"/>
    <s v="No"/>
    <n v="2"/>
    <x v="3"/>
    <x v="2"/>
    <x v="25"/>
    <x v="0"/>
    <x v="0"/>
  </r>
  <r>
    <n v="18949"/>
    <x v="1"/>
    <x v="1"/>
    <n v="70000"/>
    <n v="0"/>
    <x v="4"/>
    <s v="Management"/>
    <s v="Yes"/>
    <n v="2"/>
    <x v="2"/>
    <x v="2"/>
    <x v="50"/>
    <x v="1"/>
    <x v="1"/>
  </r>
  <r>
    <n v="14507"/>
    <x v="0"/>
    <x v="1"/>
    <n v="100000"/>
    <n v="2"/>
    <x v="4"/>
    <s v="Management"/>
    <s v="Yes"/>
    <n v="3"/>
    <x v="3"/>
    <x v="2"/>
    <x v="27"/>
    <x v="1"/>
    <x v="0"/>
  </r>
  <r>
    <n v="25886"/>
    <x v="0"/>
    <x v="0"/>
    <n v="60000"/>
    <n v="2"/>
    <x v="1"/>
    <s v="Professional"/>
    <s v="Yes"/>
    <n v="2"/>
    <x v="1"/>
    <x v="2"/>
    <x v="16"/>
    <x v="1"/>
    <x v="1"/>
  </r>
  <r>
    <n v="21441"/>
    <x v="0"/>
    <x v="1"/>
    <n v="50000"/>
    <n v="4"/>
    <x v="0"/>
    <s v="Management"/>
    <s v="Yes"/>
    <n v="2"/>
    <x v="4"/>
    <x v="2"/>
    <x v="46"/>
    <x v="1"/>
    <x v="0"/>
  </r>
  <r>
    <n v="21741"/>
    <x v="0"/>
    <x v="0"/>
    <n v="70000"/>
    <n v="3"/>
    <x v="1"/>
    <s v="Professional"/>
    <s v="Yes"/>
    <n v="2"/>
    <x v="2"/>
    <x v="2"/>
    <x v="5"/>
    <x v="1"/>
    <x v="1"/>
  </r>
  <r>
    <n v="14572"/>
    <x v="0"/>
    <x v="0"/>
    <n v="70000"/>
    <n v="3"/>
    <x v="4"/>
    <s v="Professional"/>
    <s v="Yes"/>
    <n v="0"/>
    <x v="1"/>
    <x v="2"/>
    <x v="11"/>
    <x v="0"/>
    <x v="1"/>
  </r>
  <r>
    <n v="23368"/>
    <x v="0"/>
    <x v="0"/>
    <n v="60000"/>
    <n v="5"/>
    <x v="0"/>
    <s v="Skilled Manual"/>
    <s v="Yes"/>
    <n v="3"/>
    <x v="4"/>
    <x v="2"/>
    <x v="3"/>
    <x v="0"/>
    <x v="0"/>
  </r>
  <r>
    <n v="16217"/>
    <x v="1"/>
    <x v="0"/>
    <n v="60000"/>
    <n v="0"/>
    <x v="4"/>
    <s v="Skilled Manual"/>
    <s v="Yes"/>
    <n v="0"/>
    <x v="0"/>
    <x v="2"/>
    <x v="32"/>
    <x v="0"/>
    <x v="0"/>
  </r>
  <r>
    <n v="16247"/>
    <x v="1"/>
    <x v="0"/>
    <n v="60000"/>
    <n v="4"/>
    <x v="4"/>
    <s v="Skilled Manual"/>
    <s v="No"/>
    <n v="0"/>
    <x v="3"/>
    <x v="2"/>
    <x v="15"/>
    <x v="0"/>
    <x v="0"/>
  </r>
  <r>
    <n v="22010"/>
    <x v="1"/>
    <x v="1"/>
    <n v="40000"/>
    <n v="0"/>
    <x v="2"/>
    <s v="Skilled Manual"/>
    <s v="Yes"/>
    <n v="2"/>
    <x v="2"/>
    <x v="2"/>
    <x v="23"/>
    <x v="0"/>
    <x v="0"/>
  </r>
  <r>
    <n v="25872"/>
    <x v="1"/>
    <x v="0"/>
    <n v="70000"/>
    <n v="2"/>
    <x v="0"/>
    <s v="Management"/>
    <s v="No"/>
    <n v="1"/>
    <x v="1"/>
    <x v="2"/>
    <x v="7"/>
    <x v="1"/>
    <x v="1"/>
  </r>
  <r>
    <n v="19164"/>
    <x v="1"/>
    <x v="0"/>
    <n v="70000"/>
    <n v="0"/>
    <x v="0"/>
    <s v="Professional"/>
    <s v="No"/>
    <n v="1"/>
    <x v="1"/>
    <x v="2"/>
    <x v="13"/>
    <x v="0"/>
    <x v="1"/>
  </r>
  <r>
    <n v="18435"/>
    <x v="1"/>
    <x v="0"/>
    <n v="70000"/>
    <n v="5"/>
    <x v="4"/>
    <s v="Management"/>
    <s v="Yes"/>
    <n v="2"/>
    <x v="4"/>
    <x v="2"/>
    <x v="41"/>
    <x v="1"/>
    <x v="1"/>
  </r>
  <r>
    <n v="14284"/>
    <x v="1"/>
    <x v="1"/>
    <n v="60000"/>
    <n v="0"/>
    <x v="1"/>
    <s v="Professional"/>
    <s v="No"/>
    <n v="2"/>
    <x v="3"/>
    <x v="2"/>
    <x v="21"/>
    <x v="0"/>
    <x v="1"/>
  </r>
  <r>
    <n v="11287"/>
    <x v="0"/>
    <x v="1"/>
    <n v="70000"/>
    <n v="5"/>
    <x v="1"/>
    <s v="Professional"/>
    <s v="No"/>
    <n v="3"/>
    <x v="2"/>
    <x v="2"/>
    <x v="12"/>
    <x v="0"/>
    <x v="0"/>
  </r>
  <r>
    <n v="13066"/>
    <x v="1"/>
    <x v="1"/>
    <n v="30000"/>
    <n v="0"/>
    <x v="2"/>
    <s v="Skilled Manual"/>
    <s v="No"/>
    <n v="2"/>
    <x v="3"/>
    <x v="2"/>
    <x v="23"/>
    <x v="0"/>
    <x v="1"/>
  </r>
  <r>
    <n v="29106"/>
    <x v="1"/>
    <x v="1"/>
    <n v="40000"/>
    <n v="0"/>
    <x v="2"/>
    <s v="Skilled Manual"/>
    <s v="No"/>
    <n v="2"/>
    <x v="3"/>
    <x v="2"/>
    <x v="23"/>
    <x v="0"/>
    <x v="1"/>
  </r>
  <r>
    <n v="26236"/>
    <x v="0"/>
    <x v="0"/>
    <n v="40000"/>
    <n v="3"/>
    <x v="1"/>
    <s v="Clerical"/>
    <s v="Yes"/>
    <n v="1"/>
    <x v="0"/>
    <x v="2"/>
    <x v="23"/>
    <x v="0"/>
    <x v="0"/>
  </r>
  <r>
    <n v="17531"/>
    <x v="0"/>
    <x v="1"/>
    <n v="60000"/>
    <n v="2"/>
    <x v="2"/>
    <s v="Professional"/>
    <s v="No"/>
    <n v="2"/>
    <x v="2"/>
    <x v="2"/>
    <x v="5"/>
    <x v="1"/>
    <x v="0"/>
  </r>
  <r>
    <n v="12964"/>
    <x v="0"/>
    <x v="1"/>
    <n v="70000"/>
    <n v="1"/>
    <x v="1"/>
    <s v="Skilled Manual"/>
    <s v="Yes"/>
    <n v="1"/>
    <x v="0"/>
    <x v="2"/>
    <x v="20"/>
    <x v="0"/>
    <x v="0"/>
  </r>
  <r>
    <n v="19133"/>
    <x v="1"/>
    <x v="1"/>
    <n v="50000"/>
    <n v="2"/>
    <x v="0"/>
    <s v="Skilled Manual"/>
    <s v="Yes"/>
    <n v="1"/>
    <x v="1"/>
    <x v="2"/>
    <x v="13"/>
    <x v="0"/>
    <x v="1"/>
  </r>
  <r>
    <n v="24643"/>
    <x v="1"/>
    <x v="0"/>
    <n v="60000"/>
    <n v="4"/>
    <x v="0"/>
    <s v="Management"/>
    <s v="Yes"/>
    <n v="2"/>
    <x v="4"/>
    <x v="2"/>
    <x v="18"/>
    <x v="1"/>
    <x v="0"/>
  </r>
  <r>
    <n v="21599"/>
    <x v="0"/>
    <x v="0"/>
    <n v="60000"/>
    <n v="1"/>
    <x v="4"/>
    <s v="Professional"/>
    <s v="Yes"/>
    <n v="0"/>
    <x v="1"/>
    <x v="2"/>
    <x v="4"/>
    <x v="0"/>
    <x v="1"/>
  </r>
  <r>
    <n v="22976"/>
    <x v="1"/>
    <x v="1"/>
    <n v="40000"/>
    <n v="0"/>
    <x v="2"/>
    <s v="Skilled Manual"/>
    <s v="No"/>
    <n v="2"/>
    <x v="0"/>
    <x v="2"/>
    <x v="26"/>
    <x v="0"/>
    <x v="1"/>
  </r>
  <r>
    <n v="27637"/>
    <x v="1"/>
    <x v="0"/>
    <n v="100000"/>
    <n v="1"/>
    <x v="1"/>
    <s v="Professional"/>
    <s v="No"/>
    <n v="3"/>
    <x v="3"/>
    <x v="2"/>
    <x v="20"/>
    <x v="0"/>
    <x v="0"/>
  </r>
  <r>
    <n v="11890"/>
    <x v="0"/>
    <x v="0"/>
    <n v="70000"/>
    <n v="5"/>
    <x v="4"/>
    <s v="Professional"/>
    <s v="Yes"/>
    <n v="1"/>
    <x v="0"/>
    <x v="2"/>
    <x v="15"/>
    <x v="0"/>
    <x v="0"/>
  </r>
  <r>
    <n v="28580"/>
    <x v="0"/>
    <x v="0"/>
    <n v="80000"/>
    <n v="0"/>
    <x v="4"/>
    <s v="Skilled Manual"/>
    <s v="Yes"/>
    <n v="0"/>
    <x v="3"/>
    <x v="2"/>
    <x v="8"/>
    <x v="0"/>
    <x v="1"/>
  </r>
  <r>
    <n v="14443"/>
    <x v="0"/>
    <x v="1"/>
    <n v="130000"/>
    <n v="1"/>
    <x v="4"/>
    <s v="Management"/>
    <s v="Yes"/>
    <n v="4"/>
    <x v="0"/>
    <x v="2"/>
    <x v="8"/>
    <x v="0"/>
    <x v="0"/>
  </r>
  <r>
    <n v="17864"/>
    <x v="0"/>
    <x v="0"/>
    <n v="60000"/>
    <n v="1"/>
    <x v="1"/>
    <s v="Skilled Manual"/>
    <s v="Yes"/>
    <n v="1"/>
    <x v="1"/>
    <x v="2"/>
    <x v="30"/>
    <x v="0"/>
    <x v="1"/>
  </r>
  <r>
    <n v="20505"/>
    <x v="0"/>
    <x v="0"/>
    <n v="40000"/>
    <n v="5"/>
    <x v="2"/>
    <s v="Professional"/>
    <s v="No"/>
    <n v="2"/>
    <x v="4"/>
    <x v="2"/>
    <x v="33"/>
    <x v="1"/>
    <x v="0"/>
  </r>
  <r>
    <n v="14592"/>
    <x v="0"/>
    <x v="0"/>
    <n v="60000"/>
    <n v="0"/>
    <x v="4"/>
    <s v="Professional"/>
    <s v="Yes"/>
    <n v="0"/>
    <x v="0"/>
    <x v="2"/>
    <x v="8"/>
    <x v="0"/>
    <x v="0"/>
  </r>
  <r>
    <n v="22227"/>
    <x v="0"/>
    <x v="0"/>
    <n v="60000"/>
    <n v="2"/>
    <x v="2"/>
    <s v="Professional"/>
    <s v="Yes"/>
    <n v="2"/>
    <x v="2"/>
    <x v="2"/>
    <x v="5"/>
    <x v="1"/>
    <x v="0"/>
  </r>
  <r>
    <n v="21471"/>
    <x v="0"/>
    <x v="1"/>
    <n v="70000"/>
    <n v="2"/>
    <x v="1"/>
    <s v="Professional"/>
    <s v="Yes"/>
    <n v="1"/>
    <x v="4"/>
    <x v="2"/>
    <x v="14"/>
    <x v="1"/>
    <x v="0"/>
  </r>
  <r>
    <n v="22252"/>
    <x v="1"/>
    <x v="0"/>
    <n v="60000"/>
    <n v="1"/>
    <x v="4"/>
    <s v="Professional"/>
    <s v="Yes"/>
    <n v="0"/>
    <x v="1"/>
    <x v="2"/>
    <x v="4"/>
    <x v="0"/>
    <x v="1"/>
  </r>
  <r>
    <n v="21260"/>
    <x v="1"/>
    <x v="0"/>
    <n v="40000"/>
    <n v="0"/>
    <x v="2"/>
    <s v="Skilled Manual"/>
    <s v="Yes"/>
    <n v="2"/>
    <x v="2"/>
    <x v="2"/>
    <x v="25"/>
    <x v="0"/>
    <x v="0"/>
  </r>
  <r>
    <n v="11817"/>
    <x v="1"/>
    <x v="0"/>
    <n v="70000"/>
    <n v="4"/>
    <x v="4"/>
    <s v="Professional"/>
    <s v="Yes"/>
    <n v="0"/>
    <x v="1"/>
    <x v="2"/>
    <x v="11"/>
    <x v="0"/>
    <x v="1"/>
  </r>
  <r>
    <n v="19223"/>
    <x v="0"/>
    <x v="0"/>
    <n v="30000"/>
    <n v="2"/>
    <x v="2"/>
    <s v="Skilled Manual"/>
    <s v="Yes"/>
    <n v="2"/>
    <x v="3"/>
    <x v="2"/>
    <x v="28"/>
    <x v="0"/>
    <x v="0"/>
  </r>
  <r>
    <n v="18517"/>
    <x v="0"/>
    <x v="1"/>
    <n v="100000"/>
    <n v="3"/>
    <x v="0"/>
    <s v="Management"/>
    <s v="Yes"/>
    <n v="4"/>
    <x v="0"/>
    <x v="2"/>
    <x v="3"/>
    <x v="0"/>
    <x v="0"/>
  </r>
  <r>
    <n v="21717"/>
    <x v="0"/>
    <x v="1"/>
    <n v="40000"/>
    <n v="2"/>
    <x v="1"/>
    <s v="Clerical"/>
    <s v="Yes"/>
    <n v="1"/>
    <x v="0"/>
    <x v="2"/>
    <x v="15"/>
    <x v="0"/>
    <x v="0"/>
  </r>
  <r>
    <n v="13760"/>
    <x v="0"/>
    <x v="1"/>
    <n v="60000"/>
    <n v="4"/>
    <x v="4"/>
    <s v="Skilled Manual"/>
    <s v="No"/>
    <n v="0"/>
    <x v="0"/>
    <x v="2"/>
    <x v="15"/>
    <x v="0"/>
    <x v="0"/>
  </r>
  <r>
    <n v="18145"/>
    <x v="0"/>
    <x v="1"/>
    <n v="80000"/>
    <n v="5"/>
    <x v="0"/>
    <s v="Management"/>
    <s v="No"/>
    <n v="2"/>
    <x v="1"/>
    <x v="0"/>
    <x v="24"/>
    <x v="1"/>
    <x v="0"/>
  </r>
  <r>
    <n v="21770"/>
    <x v="0"/>
    <x v="1"/>
    <n v="60000"/>
    <n v="4"/>
    <x v="0"/>
    <s v="Management"/>
    <s v="Yes"/>
    <n v="2"/>
    <x v="4"/>
    <x v="2"/>
    <x v="2"/>
    <x v="1"/>
    <x v="0"/>
  </r>
  <r>
    <n v="11165"/>
    <x v="0"/>
    <x v="0"/>
    <n v="60000"/>
    <n v="0"/>
    <x v="1"/>
    <s v="Skilled Manual"/>
    <s v="No"/>
    <n v="1"/>
    <x v="3"/>
    <x v="2"/>
    <x v="6"/>
    <x v="0"/>
    <x v="0"/>
  </r>
  <r>
    <n v="16377"/>
    <x v="1"/>
    <x v="0"/>
    <n v="80000"/>
    <n v="4"/>
    <x v="4"/>
    <s v="Skilled Manual"/>
    <s v="No"/>
    <n v="0"/>
    <x v="0"/>
    <x v="2"/>
    <x v="15"/>
    <x v="0"/>
    <x v="0"/>
  </r>
  <r>
    <n v="26248"/>
    <x v="0"/>
    <x v="1"/>
    <n v="20000"/>
    <n v="3"/>
    <x v="3"/>
    <s v="Clerical"/>
    <s v="No"/>
    <n v="2"/>
    <x v="0"/>
    <x v="2"/>
    <x v="31"/>
    <x v="1"/>
    <x v="0"/>
  </r>
  <r>
    <n v="23461"/>
    <x v="0"/>
    <x v="0"/>
    <n v="90000"/>
    <n v="5"/>
    <x v="1"/>
    <s v="Professional"/>
    <s v="Yes"/>
    <n v="3"/>
    <x v="1"/>
    <x v="2"/>
    <x v="8"/>
    <x v="0"/>
    <x v="0"/>
  </r>
  <r>
    <n v="29133"/>
    <x v="1"/>
    <x v="0"/>
    <n v="60000"/>
    <n v="4"/>
    <x v="0"/>
    <s v="Skilled Manual"/>
    <s v="No"/>
    <n v="2"/>
    <x v="0"/>
    <x v="2"/>
    <x v="0"/>
    <x v="0"/>
    <x v="0"/>
  </r>
  <r>
    <n v="27673"/>
    <x v="1"/>
    <x v="0"/>
    <n v="60000"/>
    <n v="3"/>
    <x v="4"/>
    <s v="Management"/>
    <s v="Yes"/>
    <n v="2"/>
    <x v="2"/>
    <x v="2"/>
    <x v="39"/>
    <x v="1"/>
    <x v="1"/>
  </r>
  <r>
    <n v="12774"/>
    <x v="0"/>
    <x v="0"/>
    <n v="40000"/>
    <n v="1"/>
    <x v="1"/>
    <s v="Clerical"/>
    <s v="Yes"/>
    <n v="1"/>
    <x v="3"/>
    <x v="2"/>
    <x v="36"/>
    <x v="1"/>
    <x v="1"/>
  </r>
  <r>
    <n v="18910"/>
    <x v="1"/>
    <x v="1"/>
    <n v="30000"/>
    <n v="0"/>
    <x v="1"/>
    <s v="Skilled Manual"/>
    <s v="Yes"/>
    <n v="2"/>
    <x v="2"/>
    <x v="2"/>
    <x v="25"/>
    <x v="0"/>
    <x v="0"/>
  </r>
  <r>
    <n v="11699"/>
    <x v="1"/>
    <x v="1"/>
    <n v="60000"/>
    <n v="0"/>
    <x v="0"/>
    <s v="Skilled Manual"/>
    <s v="No"/>
    <n v="2"/>
    <x v="0"/>
    <x v="2"/>
    <x v="25"/>
    <x v="0"/>
    <x v="0"/>
  </r>
  <r>
    <n v="16725"/>
    <x v="0"/>
    <x v="1"/>
    <n v="30000"/>
    <n v="0"/>
    <x v="2"/>
    <s v="Skilled Manual"/>
    <s v="Yes"/>
    <n v="2"/>
    <x v="2"/>
    <x v="2"/>
    <x v="22"/>
    <x v="0"/>
    <x v="0"/>
  </r>
  <r>
    <n v="28269"/>
    <x v="1"/>
    <x v="0"/>
    <n v="130000"/>
    <n v="1"/>
    <x v="0"/>
    <s v="Management"/>
    <s v="No"/>
    <n v="1"/>
    <x v="1"/>
    <x v="2"/>
    <x v="12"/>
    <x v="0"/>
    <x v="0"/>
  </r>
  <r>
    <n v="23144"/>
    <x v="0"/>
    <x v="1"/>
    <n v="50000"/>
    <n v="1"/>
    <x v="0"/>
    <s v="Skilled Manual"/>
    <s v="Yes"/>
    <n v="0"/>
    <x v="0"/>
    <x v="2"/>
    <x v="17"/>
    <x v="0"/>
    <x v="1"/>
  </r>
  <r>
    <n v="23376"/>
    <x v="0"/>
    <x v="1"/>
    <n v="70000"/>
    <n v="1"/>
    <x v="0"/>
    <s v="Professional"/>
    <s v="Yes"/>
    <n v="1"/>
    <x v="1"/>
    <x v="2"/>
    <x v="20"/>
    <x v="0"/>
    <x v="1"/>
  </r>
  <r>
    <n v="25970"/>
    <x v="1"/>
    <x v="0"/>
    <n v="60000"/>
    <n v="4"/>
    <x v="0"/>
    <s v="Skilled Manual"/>
    <s v="No"/>
    <n v="2"/>
    <x v="0"/>
    <x v="2"/>
    <x v="3"/>
    <x v="0"/>
    <x v="1"/>
  </r>
  <r>
    <n v="28068"/>
    <x v="1"/>
    <x v="0"/>
    <n v="80000"/>
    <n v="3"/>
    <x v="4"/>
    <s v="Professional"/>
    <s v="No"/>
    <n v="0"/>
    <x v="0"/>
    <x v="2"/>
    <x v="4"/>
    <x v="0"/>
    <x v="1"/>
  </r>
  <r>
    <n v="18390"/>
    <x v="0"/>
    <x v="1"/>
    <n v="80000"/>
    <n v="5"/>
    <x v="1"/>
    <s v="Professional"/>
    <s v="Yes"/>
    <n v="2"/>
    <x v="0"/>
    <x v="2"/>
    <x v="20"/>
    <x v="0"/>
    <x v="0"/>
  </r>
  <r>
    <n v="29112"/>
    <x v="1"/>
    <x v="1"/>
    <n v="60000"/>
    <n v="0"/>
    <x v="1"/>
    <s v="Professional"/>
    <s v="No"/>
    <n v="2"/>
    <x v="3"/>
    <x v="2"/>
    <x v="25"/>
    <x v="0"/>
    <x v="0"/>
  </r>
  <r>
    <n v="14090"/>
    <x v="0"/>
    <x v="0"/>
    <n v="30000"/>
    <n v="0"/>
    <x v="3"/>
    <s v="Clerical"/>
    <s v="No"/>
    <n v="2"/>
    <x v="0"/>
    <x v="2"/>
    <x v="26"/>
    <x v="0"/>
    <x v="0"/>
  </r>
  <r>
    <n v="27040"/>
    <x v="0"/>
    <x v="1"/>
    <n v="20000"/>
    <n v="2"/>
    <x v="3"/>
    <s v="Clerical"/>
    <s v="Yes"/>
    <n v="2"/>
    <x v="3"/>
    <x v="2"/>
    <x v="38"/>
    <x v="0"/>
    <x v="0"/>
  </r>
  <r>
    <n v="23479"/>
    <x v="1"/>
    <x v="1"/>
    <n v="90000"/>
    <n v="0"/>
    <x v="1"/>
    <s v="Professional"/>
    <s v="No"/>
    <n v="2"/>
    <x v="0"/>
    <x v="2"/>
    <x v="1"/>
    <x v="0"/>
    <x v="1"/>
  </r>
  <r>
    <n v="16795"/>
    <x v="0"/>
    <x v="0"/>
    <n v="70000"/>
    <n v="4"/>
    <x v="0"/>
    <s v="Management"/>
    <s v="Yes"/>
    <n v="1"/>
    <x v="3"/>
    <x v="2"/>
    <x v="14"/>
    <x v="1"/>
    <x v="0"/>
  </r>
  <r>
    <n v="22014"/>
    <x v="1"/>
    <x v="1"/>
    <n v="30000"/>
    <n v="0"/>
    <x v="2"/>
    <s v="Skilled Manual"/>
    <s v="Yes"/>
    <n v="2"/>
    <x v="2"/>
    <x v="2"/>
    <x v="22"/>
    <x v="0"/>
    <x v="0"/>
  </r>
  <r>
    <n v="13314"/>
    <x v="0"/>
    <x v="1"/>
    <n v="120000"/>
    <n v="1"/>
    <x v="2"/>
    <s v="Professional"/>
    <s v="Yes"/>
    <n v="4"/>
    <x v="2"/>
    <x v="2"/>
    <x v="30"/>
    <x v="0"/>
    <x v="1"/>
  </r>
  <r>
    <n v="11619"/>
    <x v="1"/>
    <x v="0"/>
    <n v="50000"/>
    <n v="0"/>
    <x v="4"/>
    <s v="Skilled Manual"/>
    <s v="Yes"/>
    <n v="0"/>
    <x v="3"/>
    <x v="2"/>
    <x v="6"/>
    <x v="0"/>
    <x v="0"/>
  </r>
  <r>
    <n v="29132"/>
    <x v="1"/>
    <x v="0"/>
    <n v="40000"/>
    <n v="0"/>
    <x v="0"/>
    <s v="Professional"/>
    <s v="Yes"/>
    <n v="1"/>
    <x v="1"/>
    <x v="2"/>
    <x v="0"/>
    <x v="0"/>
    <x v="1"/>
  </r>
  <r>
    <n v="11199"/>
    <x v="0"/>
    <x v="0"/>
    <n v="70000"/>
    <n v="4"/>
    <x v="0"/>
    <s v="Management"/>
    <s v="Yes"/>
    <n v="1"/>
    <x v="4"/>
    <x v="2"/>
    <x v="14"/>
    <x v="1"/>
    <x v="0"/>
  </r>
  <r>
    <n v="20296"/>
    <x v="1"/>
    <x v="0"/>
    <n v="60000"/>
    <n v="0"/>
    <x v="1"/>
    <s v="Skilled Manual"/>
    <s v="No"/>
    <n v="1"/>
    <x v="3"/>
    <x v="2"/>
    <x v="6"/>
    <x v="0"/>
    <x v="1"/>
  </r>
  <r>
    <n v="17546"/>
    <x v="0"/>
    <x v="0"/>
    <n v="70000"/>
    <n v="1"/>
    <x v="1"/>
    <s v="Skilled Manual"/>
    <s v="Yes"/>
    <n v="1"/>
    <x v="0"/>
    <x v="2"/>
    <x v="20"/>
    <x v="0"/>
    <x v="1"/>
  </r>
  <r>
    <n v="18069"/>
    <x v="0"/>
    <x v="1"/>
    <n v="70000"/>
    <n v="5"/>
    <x v="0"/>
    <s v="Management"/>
    <s v="Yes"/>
    <n v="4"/>
    <x v="4"/>
    <x v="2"/>
    <x v="2"/>
    <x v="1"/>
    <x v="0"/>
  </r>
  <r>
    <n v="23712"/>
    <x v="1"/>
    <x v="0"/>
    <n v="70000"/>
    <n v="2"/>
    <x v="0"/>
    <s v="Management"/>
    <s v="Yes"/>
    <n v="1"/>
    <x v="4"/>
    <x v="2"/>
    <x v="14"/>
    <x v="1"/>
    <x v="0"/>
  </r>
  <r>
    <n v="23358"/>
    <x v="0"/>
    <x v="1"/>
    <n v="60000"/>
    <n v="0"/>
    <x v="2"/>
    <s v="Professional"/>
    <s v="Yes"/>
    <n v="2"/>
    <x v="2"/>
    <x v="2"/>
    <x v="21"/>
    <x v="0"/>
    <x v="1"/>
  </r>
  <r>
    <n v="20518"/>
    <x v="0"/>
    <x v="0"/>
    <n v="70000"/>
    <n v="2"/>
    <x v="1"/>
    <s v="Professional"/>
    <s v="Yes"/>
    <n v="1"/>
    <x v="4"/>
    <x v="2"/>
    <x v="7"/>
    <x v="1"/>
    <x v="0"/>
  </r>
  <r>
    <n v="28026"/>
    <x v="0"/>
    <x v="0"/>
    <n v="40000"/>
    <n v="2"/>
    <x v="2"/>
    <s v="Professional"/>
    <s v="No"/>
    <n v="2"/>
    <x v="1"/>
    <x v="2"/>
    <x v="14"/>
    <x v="1"/>
    <x v="0"/>
  </r>
  <r>
    <n v="11669"/>
    <x v="1"/>
    <x v="0"/>
    <n v="70000"/>
    <n v="2"/>
    <x v="0"/>
    <s v="Skilled Manual"/>
    <s v="Yes"/>
    <n v="1"/>
    <x v="1"/>
    <x v="2"/>
    <x v="13"/>
    <x v="0"/>
    <x v="0"/>
  </r>
  <r>
    <n v="16020"/>
    <x v="0"/>
    <x v="1"/>
    <n v="40000"/>
    <n v="0"/>
    <x v="2"/>
    <s v="Skilled Manual"/>
    <s v="Yes"/>
    <n v="2"/>
    <x v="2"/>
    <x v="2"/>
    <x v="26"/>
    <x v="0"/>
    <x v="1"/>
  </r>
  <r>
    <n v="27090"/>
    <x v="0"/>
    <x v="0"/>
    <n v="60000"/>
    <n v="1"/>
    <x v="4"/>
    <s v="Professional"/>
    <s v="Yes"/>
    <n v="0"/>
    <x v="1"/>
    <x v="2"/>
    <x v="34"/>
    <x v="0"/>
    <x v="1"/>
  </r>
  <r>
    <n v="27198"/>
    <x v="1"/>
    <x v="0"/>
    <n v="80000"/>
    <n v="0"/>
    <x v="4"/>
    <s v="Skilled Manual"/>
    <s v="No"/>
    <n v="0"/>
    <x v="0"/>
    <x v="2"/>
    <x v="8"/>
    <x v="0"/>
    <x v="0"/>
  </r>
  <r>
    <n v="19661"/>
    <x v="1"/>
    <x v="1"/>
    <n v="90000"/>
    <n v="4"/>
    <x v="0"/>
    <s v="Management"/>
    <s v="Yes"/>
    <n v="1"/>
    <x v="3"/>
    <x v="2"/>
    <x v="13"/>
    <x v="0"/>
    <x v="1"/>
  </r>
  <r>
    <n v="26327"/>
    <x v="0"/>
    <x v="1"/>
    <n v="70000"/>
    <n v="4"/>
    <x v="4"/>
    <s v="Professional"/>
    <s v="Yes"/>
    <n v="0"/>
    <x v="1"/>
    <x v="2"/>
    <x v="4"/>
    <x v="0"/>
    <x v="1"/>
  </r>
  <r>
    <n v="26341"/>
    <x v="0"/>
    <x v="0"/>
    <n v="70000"/>
    <n v="5"/>
    <x v="4"/>
    <s v="Professional"/>
    <s v="Yes"/>
    <n v="2"/>
    <x v="0"/>
    <x v="2"/>
    <x v="34"/>
    <x v="0"/>
    <x v="0"/>
  </r>
  <r>
    <n v="24958"/>
    <x v="1"/>
    <x v="0"/>
    <n v="40000"/>
    <n v="5"/>
    <x v="2"/>
    <s v="Professional"/>
    <s v="No"/>
    <n v="3"/>
    <x v="1"/>
    <x v="2"/>
    <x v="2"/>
    <x v="1"/>
    <x v="1"/>
  </r>
  <r>
    <n v="13287"/>
    <x v="1"/>
    <x v="1"/>
    <n v="110000"/>
    <n v="4"/>
    <x v="0"/>
    <s v="Management"/>
    <s v="Yes"/>
    <n v="4"/>
    <x v="2"/>
    <x v="2"/>
    <x v="0"/>
    <x v="0"/>
    <x v="1"/>
  </r>
  <r>
    <n v="14493"/>
    <x v="1"/>
    <x v="0"/>
    <n v="70000"/>
    <n v="3"/>
    <x v="4"/>
    <s v="Management"/>
    <s v="No"/>
    <n v="2"/>
    <x v="3"/>
    <x v="2"/>
    <x v="39"/>
    <x v="1"/>
    <x v="0"/>
  </r>
  <r>
    <n v="26678"/>
    <x v="1"/>
    <x v="0"/>
    <n v="80000"/>
    <n v="2"/>
    <x v="3"/>
    <s v="Skilled Manual"/>
    <s v="Yes"/>
    <n v="2"/>
    <x v="2"/>
    <x v="2"/>
    <x v="38"/>
    <x v="0"/>
    <x v="0"/>
  </r>
  <r>
    <n v="23275"/>
    <x v="0"/>
    <x v="1"/>
    <n v="30000"/>
    <n v="2"/>
    <x v="2"/>
    <s v="Skilled Manual"/>
    <s v="Yes"/>
    <n v="2"/>
    <x v="3"/>
    <x v="2"/>
    <x v="38"/>
    <x v="0"/>
    <x v="0"/>
  </r>
  <r>
    <n v="11270"/>
    <x v="0"/>
    <x v="1"/>
    <n v="130000"/>
    <n v="2"/>
    <x v="4"/>
    <s v="Management"/>
    <s v="Yes"/>
    <n v="3"/>
    <x v="0"/>
    <x v="2"/>
    <x v="0"/>
    <x v="0"/>
    <x v="1"/>
  </r>
  <r>
    <n v="20084"/>
    <x v="0"/>
    <x v="1"/>
    <n v="20000"/>
    <n v="2"/>
    <x v="2"/>
    <s v="Manual"/>
    <s v="No"/>
    <n v="2"/>
    <x v="0"/>
    <x v="2"/>
    <x v="39"/>
    <x v="1"/>
    <x v="0"/>
  </r>
  <r>
    <n v="16144"/>
    <x v="0"/>
    <x v="1"/>
    <n v="70000"/>
    <n v="1"/>
    <x v="4"/>
    <s v="Professional"/>
    <s v="Yes"/>
    <n v="1"/>
    <x v="0"/>
    <x v="2"/>
    <x v="30"/>
    <x v="0"/>
    <x v="1"/>
  </r>
  <r>
    <n v="27731"/>
    <x v="0"/>
    <x v="1"/>
    <n v="40000"/>
    <n v="0"/>
    <x v="2"/>
    <s v="Skilled Manual"/>
    <s v="Yes"/>
    <n v="2"/>
    <x v="2"/>
    <x v="2"/>
    <x v="40"/>
    <x v="0"/>
    <x v="0"/>
  </r>
  <r>
    <n v="11886"/>
    <x v="0"/>
    <x v="0"/>
    <n v="60000"/>
    <n v="3"/>
    <x v="0"/>
    <s v="Professional"/>
    <s v="Yes"/>
    <n v="1"/>
    <x v="0"/>
    <x v="2"/>
    <x v="28"/>
    <x v="0"/>
    <x v="1"/>
  </r>
  <r>
    <n v="24324"/>
    <x v="1"/>
    <x v="0"/>
    <n v="60000"/>
    <n v="4"/>
    <x v="0"/>
    <s v="Skilled Manual"/>
    <s v="Yes"/>
    <n v="2"/>
    <x v="1"/>
    <x v="2"/>
    <x v="3"/>
    <x v="0"/>
    <x v="1"/>
  </r>
  <r>
    <n v="22220"/>
    <x v="0"/>
    <x v="1"/>
    <n v="60000"/>
    <n v="2"/>
    <x v="2"/>
    <s v="Professional"/>
    <s v="No"/>
    <n v="2"/>
    <x v="3"/>
    <x v="2"/>
    <x v="38"/>
    <x v="0"/>
    <x v="1"/>
  </r>
  <r>
    <n v="26625"/>
    <x v="1"/>
    <x v="0"/>
    <n v="60000"/>
    <n v="0"/>
    <x v="4"/>
    <s v="Professional"/>
    <s v="Yes"/>
    <n v="1"/>
    <x v="1"/>
    <x v="2"/>
    <x v="13"/>
    <x v="0"/>
    <x v="1"/>
  </r>
  <r>
    <n v="23027"/>
    <x v="1"/>
    <x v="1"/>
    <n v="130000"/>
    <n v="1"/>
    <x v="0"/>
    <s v="Management"/>
    <s v="No"/>
    <n v="4"/>
    <x v="0"/>
    <x v="2"/>
    <x v="20"/>
    <x v="0"/>
    <x v="0"/>
  </r>
  <r>
    <n v="16867"/>
    <x v="1"/>
    <x v="0"/>
    <n v="130000"/>
    <n v="1"/>
    <x v="0"/>
    <s v="Management"/>
    <s v="No"/>
    <n v="3"/>
    <x v="0"/>
    <x v="2"/>
    <x v="12"/>
    <x v="0"/>
    <x v="1"/>
  </r>
  <r>
    <n v="14514"/>
    <x v="1"/>
    <x v="0"/>
    <n v="30000"/>
    <n v="0"/>
    <x v="1"/>
    <s v="Skilled Manual"/>
    <s v="Yes"/>
    <n v="1"/>
    <x v="2"/>
    <x v="2"/>
    <x v="22"/>
    <x v="0"/>
    <x v="0"/>
  </r>
  <r>
    <n v="19634"/>
    <x v="0"/>
    <x v="1"/>
    <n v="40000"/>
    <n v="0"/>
    <x v="2"/>
    <s v="Skilled Manual"/>
    <s v="Yes"/>
    <n v="1"/>
    <x v="2"/>
    <x v="2"/>
    <x v="23"/>
    <x v="0"/>
    <x v="0"/>
  </r>
  <r>
    <n v="18504"/>
    <x v="0"/>
    <x v="1"/>
    <n v="70000"/>
    <n v="2"/>
    <x v="3"/>
    <s v="Skilled Manual"/>
    <s v="No"/>
    <n v="2"/>
    <x v="3"/>
    <x v="2"/>
    <x v="38"/>
    <x v="0"/>
    <x v="0"/>
  </r>
  <r>
    <n v="28799"/>
    <x v="1"/>
    <x v="0"/>
    <n v="40000"/>
    <n v="2"/>
    <x v="1"/>
    <s v="Clerical"/>
    <s v="No"/>
    <n v="1"/>
    <x v="3"/>
    <x v="2"/>
    <x v="15"/>
    <x v="0"/>
    <x v="1"/>
  </r>
  <r>
    <n v="11225"/>
    <x v="0"/>
    <x v="0"/>
    <n v="60000"/>
    <n v="2"/>
    <x v="1"/>
    <s v="Professional"/>
    <s v="Yes"/>
    <n v="1"/>
    <x v="4"/>
    <x v="2"/>
    <x v="10"/>
    <x v="1"/>
    <x v="0"/>
  </r>
  <r>
    <n v="17657"/>
    <x v="0"/>
    <x v="1"/>
    <n v="40000"/>
    <n v="4"/>
    <x v="1"/>
    <s v="Clerical"/>
    <s v="No"/>
    <n v="0"/>
    <x v="0"/>
    <x v="2"/>
    <x v="25"/>
    <x v="0"/>
    <x v="0"/>
  </r>
  <r>
    <n v="14913"/>
    <x v="0"/>
    <x v="0"/>
    <n v="40000"/>
    <n v="1"/>
    <x v="1"/>
    <s v="Clerical"/>
    <s v="Yes"/>
    <n v="1"/>
    <x v="3"/>
    <x v="2"/>
    <x v="28"/>
    <x v="0"/>
    <x v="1"/>
  </r>
  <r>
    <n v="14077"/>
    <x v="1"/>
    <x v="1"/>
    <n v="30000"/>
    <n v="0"/>
    <x v="2"/>
    <s v="Skilled Manual"/>
    <s v="Yes"/>
    <n v="2"/>
    <x v="2"/>
    <x v="2"/>
    <x v="25"/>
    <x v="0"/>
    <x v="0"/>
  </r>
  <r>
    <n v="13296"/>
    <x v="0"/>
    <x v="1"/>
    <n v="110000"/>
    <n v="1"/>
    <x v="0"/>
    <s v="Management"/>
    <s v="Yes"/>
    <n v="3"/>
    <x v="2"/>
    <x v="2"/>
    <x v="12"/>
    <x v="0"/>
    <x v="0"/>
  </r>
  <r>
    <n v="20535"/>
    <x v="0"/>
    <x v="0"/>
    <n v="70000"/>
    <n v="4"/>
    <x v="1"/>
    <s v="Professional"/>
    <s v="Yes"/>
    <n v="1"/>
    <x v="4"/>
    <x v="2"/>
    <x v="16"/>
    <x v="1"/>
    <x v="0"/>
  </r>
  <r>
    <n v="12452"/>
    <x v="0"/>
    <x v="1"/>
    <n v="60000"/>
    <n v="4"/>
    <x v="4"/>
    <s v="Skilled Manual"/>
    <s v="Yes"/>
    <n v="0"/>
    <x v="3"/>
    <x v="2"/>
    <x v="15"/>
    <x v="0"/>
    <x v="1"/>
  </r>
  <r>
    <n v="28043"/>
    <x v="0"/>
    <x v="0"/>
    <n v="60000"/>
    <n v="2"/>
    <x v="0"/>
    <s v="Management"/>
    <s v="Yes"/>
    <n v="0"/>
    <x v="4"/>
    <x v="2"/>
    <x v="16"/>
    <x v="1"/>
    <x v="0"/>
  </r>
  <r>
    <n v="12957"/>
    <x v="1"/>
    <x v="0"/>
    <n v="70000"/>
    <n v="1"/>
    <x v="0"/>
    <s v="Professional"/>
    <s v="No"/>
    <n v="1"/>
    <x v="0"/>
    <x v="2"/>
    <x v="20"/>
    <x v="0"/>
    <x v="0"/>
  </r>
  <r>
    <n v="15412"/>
    <x v="0"/>
    <x v="1"/>
    <n v="130000"/>
    <n v="2"/>
    <x v="4"/>
    <s v="Management"/>
    <s v="Yes"/>
    <n v="3"/>
    <x v="1"/>
    <x v="2"/>
    <x v="45"/>
    <x v="1"/>
    <x v="0"/>
  </r>
  <r>
    <n v="20514"/>
    <x v="0"/>
    <x v="0"/>
    <n v="70000"/>
    <n v="2"/>
    <x v="1"/>
    <s v="Professional"/>
    <s v="Yes"/>
    <n v="1"/>
    <x v="1"/>
    <x v="2"/>
    <x v="14"/>
    <x v="1"/>
    <x v="0"/>
  </r>
  <r>
    <n v="20758"/>
    <x v="0"/>
    <x v="1"/>
    <n v="30000"/>
    <n v="2"/>
    <x v="2"/>
    <s v="Skilled Manual"/>
    <s v="Yes"/>
    <n v="2"/>
    <x v="3"/>
    <x v="2"/>
    <x v="5"/>
    <x v="1"/>
    <x v="0"/>
  </r>
  <r>
    <n v="11801"/>
    <x v="0"/>
    <x v="1"/>
    <n v="60000"/>
    <n v="1"/>
    <x v="4"/>
    <s v="Professional"/>
    <s v="Yes"/>
    <n v="0"/>
    <x v="1"/>
    <x v="2"/>
    <x v="4"/>
    <x v="0"/>
    <x v="0"/>
  </r>
  <r>
    <n v="22211"/>
    <x v="0"/>
    <x v="1"/>
    <n v="60000"/>
    <n v="0"/>
    <x v="1"/>
    <s v="Professional"/>
    <s v="Yes"/>
    <n v="2"/>
    <x v="2"/>
    <x v="2"/>
    <x v="21"/>
    <x v="0"/>
    <x v="0"/>
  </r>
  <r>
    <n v="28087"/>
    <x v="1"/>
    <x v="0"/>
    <n v="40000"/>
    <n v="0"/>
    <x v="1"/>
    <s v="Skilled Manual"/>
    <s v="No"/>
    <n v="1"/>
    <x v="3"/>
    <x v="2"/>
    <x v="40"/>
    <x v="0"/>
    <x v="0"/>
  </r>
  <r>
    <n v="23668"/>
    <x v="0"/>
    <x v="0"/>
    <n v="40000"/>
    <n v="4"/>
    <x v="2"/>
    <s v="Professional"/>
    <s v="Yes"/>
    <n v="2"/>
    <x v="2"/>
    <x v="2"/>
    <x v="14"/>
    <x v="1"/>
    <x v="1"/>
  </r>
  <r>
    <n v="27441"/>
    <x v="0"/>
    <x v="1"/>
    <n v="60000"/>
    <n v="3"/>
    <x v="2"/>
    <s v="Professional"/>
    <s v="No"/>
    <n v="2"/>
    <x v="1"/>
    <x v="2"/>
    <x v="39"/>
    <x v="1"/>
    <x v="0"/>
  </r>
  <r>
    <n v="27261"/>
    <x v="0"/>
    <x v="1"/>
    <n v="40000"/>
    <n v="1"/>
    <x v="0"/>
    <s v="Skilled Manual"/>
    <s v="No"/>
    <n v="1"/>
    <x v="0"/>
    <x v="2"/>
    <x v="4"/>
    <x v="0"/>
    <x v="1"/>
  </r>
  <r>
    <n v="18649"/>
    <x v="1"/>
    <x v="1"/>
    <n v="30000"/>
    <n v="1"/>
    <x v="2"/>
    <s v="Clerical"/>
    <s v="Yes"/>
    <n v="2"/>
    <x v="3"/>
    <x v="2"/>
    <x v="36"/>
    <x v="1"/>
    <x v="1"/>
  </r>
  <r>
    <n v="21714"/>
    <x v="1"/>
    <x v="0"/>
    <n v="80000"/>
    <n v="5"/>
    <x v="4"/>
    <s v="Skilled Manual"/>
    <s v="No"/>
    <n v="0"/>
    <x v="0"/>
    <x v="2"/>
    <x v="15"/>
    <x v="0"/>
    <x v="0"/>
  </r>
  <r>
    <n v="23217"/>
    <x v="1"/>
    <x v="0"/>
    <n v="60000"/>
    <n v="3"/>
    <x v="4"/>
    <s v="Professional"/>
    <s v="Yes"/>
    <n v="0"/>
    <x v="1"/>
    <x v="2"/>
    <x v="1"/>
    <x v="0"/>
    <x v="1"/>
  </r>
  <r>
    <n v="23797"/>
    <x v="1"/>
    <x v="1"/>
    <n v="20000"/>
    <n v="3"/>
    <x v="3"/>
    <s v="Clerical"/>
    <s v="No"/>
    <n v="2"/>
    <x v="0"/>
    <x v="2"/>
    <x v="5"/>
    <x v="1"/>
    <x v="0"/>
  </r>
  <r>
    <n v="13216"/>
    <x v="0"/>
    <x v="0"/>
    <n v="60000"/>
    <n v="5"/>
    <x v="0"/>
    <s v="Management"/>
    <s v="Yes"/>
    <n v="3"/>
    <x v="4"/>
    <x v="2"/>
    <x v="14"/>
    <x v="1"/>
    <x v="0"/>
  </r>
  <r>
    <n v="20657"/>
    <x v="1"/>
    <x v="1"/>
    <n v="50000"/>
    <n v="2"/>
    <x v="0"/>
    <s v="Skilled Manual"/>
    <s v="Yes"/>
    <n v="0"/>
    <x v="1"/>
    <x v="2"/>
    <x v="34"/>
    <x v="0"/>
    <x v="1"/>
  </r>
  <r>
    <n v="12882"/>
    <x v="0"/>
    <x v="1"/>
    <n v="50000"/>
    <n v="1"/>
    <x v="4"/>
    <s v="Skilled Manual"/>
    <s v="Yes"/>
    <n v="0"/>
    <x v="0"/>
    <x v="2"/>
    <x v="6"/>
    <x v="0"/>
    <x v="1"/>
  </r>
  <r>
    <n v="25908"/>
    <x v="0"/>
    <x v="0"/>
    <n v="60000"/>
    <n v="0"/>
    <x v="1"/>
    <s v="Skilled Manual"/>
    <s v="No"/>
    <n v="1"/>
    <x v="3"/>
    <x v="2"/>
    <x v="40"/>
    <x v="0"/>
    <x v="0"/>
  </r>
  <r>
    <n v="16753"/>
    <x v="1"/>
    <x v="0"/>
    <n v="70000"/>
    <n v="0"/>
    <x v="1"/>
    <s v="Skilled Manual"/>
    <s v="Yes"/>
    <n v="2"/>
    <x v="2"/>
    <x v="2"/>
    <x v="17"/>
    <x v="0"/>
    <x v="1"/>
  </r>
  <r>
    <n v="14608"/>
    <x v="0"/>
    <x v="1"/>
    <n v="50000"/>
    <n v="4"/>
    <x v="0"/>
    <s v="Skilled Manual"/>
    <s v="Yes"/>
    <n v="3"/>
    <x v="4"/>
    <x v="2"/>
    <x v="0"/>
    <x v="0"/>
    <x v="0"/>
  </r>
  <r>
    <n v="24979"/>
    <x v="0"/>
    <x v="0"/>
    <n v="60000"/>
    <n v="2"/>
    <x v="1"/>
    <s v="Professional"/>
    <s v="Yes"/>
    <n v="2"/>
    <x v="1"/>
    <x v="2"/>
    <x v="42"/>
    <x v="1"/>
    <x v="1"/>
  </r>
  <r>
    <n v="13313"/>
    <x v="0"/>
    <x v="0"/>
    <n v="120000"/>
    <n v="1"/>
    <x v="2"/>
    <s v="Professional"/>
    <s v="No"/>
    <n v="4"/>
    <x v="1"/>
    <x v="2"/>
    <x v="12"/>
    <x v="0"/>
    <x v="0"/>
  </r>
  <r>
    <n v="18952"/>
    <x v="0"/>
    <x v="0"/>
    <n v="100000"/>
    <n v="4"/>
    <x v="0"/>
    <s v="Management"/>
    <s v="Yes"/>
    <n v="4"/>
    <x v="0"/>
    <x v="2"/>
    <x v="8"/>
    <x v="0"/>
    <x v="0"/>
  </r>
  <r>
    <n v="17699"/>
    <x v="0"/>
    <x v="1"/>
    <n v="60000"/>
    <n v="1"/>
    <x v="4"/>
    <s v="Skilled Manual"/>
    <s v="No"/>
    <n v="0"/>
    <x v="0"/>
    <x v="2"/>
    <x v="10"/>
    <x v="1"/>
    <x v="0"/>
  </r>
  <r>
    <n v="14657"/>
    <x v="0"/>
    <x v="1"/>
    <n v="80000"/>
    <n v="1"/>
    <x v="1"/>
    <s v="Skilled Manual"/>
    <s v="No"/>
    <n v="1"/>
    <x v="0"/>
    <x v="2"/>
    <x v="15"/>
    <x v="0"/>
    <x v="1"/>
  </r>
  <r>
    <n v="11540"/>
    <x v="1"/>
    <x v="1"/>
    <n v="60000"/>
    <n v="4"/>
    <x v="4"/>
    <s v="Skilled Manual"/>
    <s v="Yes"/>
    <n v="0"/>
    <x v="3"/>
    <x v="2"/>
    <x v="15"/>
    <x v="0"/>
    <x v="1"/>
  </r>
  <r>
    <n v="11783"/>
    <x v="0"/>
    <x v="0"/>
    <n v="60000"/>
    <n v="1"/>
    <x v="4"/>
    <s v="Skilled Manual"/>
    <s v="Yes"/>
    <n v="0"/>
    <x v="0"/>
    <x v="2"/>
    <x v="17"/>
    <x v="0"/>
    <x v="0"/>
  </r>
  <r>
    <n v="14602"/>
    <x v="0"/>
    <x v="0"/>
    <n v="80000"/>
    <n v="3"/>
    <x v="4"/>
    <s v="Professional"/>
    <s v="Yes"/>
    <n v="0"/>
    <x v="0"/>
    <x v="2"/>
    <x v="4"/>
    <x v="0"/>
    <x v="1"/>
  </r>
  <r>
    <n v="29030"/>
    <x v="0"/>
    <x v="1"/>
    <n v="70000"/>
    <n v="2"/>
    <x v="3"/>
    <s v="Skilled Manual"/>
    <s v="Yes"/>
    <n v="2"/>
    <x v="4"/>
    <x v="2"/>
    <x v="9"/>
    <x v="1"/>
    <x v="0"/>
  </r>
  <r>
    <n v="26490"/>
    <x v="1"/>
    <x v="1"/>
    <n v="70000"/>
    <n v="2"/>
    <x v="0"/>
    <s v="Management"/>
    <s v="No"/>
    <n v="1"/>
    <x v="1"/>
    <x v="2"/>
    <x v="14"/>
    <x v="1"/>
    <x v="1"/>
  </r>
  <r>
    <n v="13151"/>
    <x v="1"/>
    <x v="1"/>
    <n v="40000"/>
    <n v="0"/>
    <x v="2"/>
    <s v="Skilled Manual"/>
    <s v="Yes"/>
    <n v="2"/>
    <x v="2"/>
    <x v="2"/>
    <x v="40"/>
    <x v="0"/>
    <x v="0"/>
  </r>
  <r>
    <n v="17260"/>
    <x v="0"/>
    <x v="1"/>
    <n v="90000"/>
    <n v="5"/>
    <x v="1"/>
    <s v="Professional"/>
    <s v="Yes"/>
    <n v="3"/>
    <x v="0"/>
    <x v="2"/>
    <x v="3"/>
    <x v="0"/>
    <x v="0"/>
  </r>
  <r>
    <n v="15372"/>
    <x v="0"/>
    <x v="1"/>
    <n v="80000"/>
    <n v="3"/>
    <x v="1"/>
    <s v="Professional"/>
    <s v="No"/>
    <n v="2"/>
    <x v="1"/>
    <x v="2"/>
    <x v="5"/>
    <x v="1"/>
    <x v="1"/>
  </r>
  <r>
    <n v="18105"/>
    <x v="0"/>
    <x v="0"/>
    <n v="60000"/>
    <n v="2"/>
    <x v="1"/>
    <s v="Professional"/>
    <s v="Yes"/>
    <n v="1"/>
    <x v="4"/>
    <x v="2"/>
    <x v="10"/>
    <x v="1"/>
    <x v="0"/>
  </r>
  <r>
    <n v="19660"/>
    <x v="0"/>
    <x v="1"/>
    <n v="80000"/>
    <n v="4"/>
    <x v="0"/>
    <s v="Management"/>
    <s v="Yes"/>
    <n v="0"/>
    <x v="0"/>
    <x v="2"/>
    <x v="1"/>
    <x v="0"/>
    <x v="0"/>
  </r>
  <r>
    <n v="16112"/>
    <x v="1"/>
    <x v="1"/>
    <n v="70000"/>
    <n v="4"/>
    <x v="0"/>
    <s v="Professional"/>
    <s v="Yes"/>
    <n v="2"/>
    <x v="1"/>
    <x v="2"/>
    <x v="1"/>
    <x v="0"/>
    <x v="1"/>
  </r>
  <r>
    <n v="20698"/>
    <x v="0"/>
    <x v="1"/>
    <n v="60000"/>
    <n v="4"/>
    <x v="0"/>
    <s v="Skilled Manual"/>
    <s v="Yes"/>
    <n v="3"/>
    <x v="2"/>
    <x v="2"/>
    <x v="0"/>
    <x v="0"/>
    <x v="0"/>
  </r>
  <r>
    <n v="20076"/>
    <x v="1"/>
    <x v="0"/>
    <n v="10000"/>
    <n v="2"/>
    <x v="2"/>
    <s v="Manual"/>
    <s v="Yes"/>
    <n v="2"/>
    <x v="3"/>
    <x v="2"/>
    <x v="39"/>
    <x v="1"/>
    <x v="1"/>
  </r>
  <r>
    <n v="24496"/>
    <x v="1"/>
    <x v="0"/>
    <n v="40000"/>
    <n v="0"/>
    <x v="2"/>
    <s v="Skilled Manual"/>
    <s v="No"/>
    <n v="2"/>
    <x v="0"/>
    <x v="2"/>
    <x v="26"/>
    <x v="0"/>
    <x v="1"/>
  </r>
  <r>
    <n v="15468"/>
    <x v="0"/>
    <x v="0"/>
    <n v="50000"/>
    <n v="1"/>
    <x v="0"/>
    <s v="Skilled Manual"/>
    <s v="Yes"/>
    <n v="1"/>
    <x v="0"/>
    <x v="2"/>
    <x v="11"/>
    <x v="0"/>
    <x v="0"/>
  </r>
  <r>
    <n v="28031"/>
    <x v="1"/>
    <x v="0"/>
    <n v="70000"/>
    <n v="2"/>
    <x v="0"/>
    <s v="Management"/>
    <s v="No"/>
    <n v="1"/>
    <x v="1"/>
    <x v="2"/>
    <x v="14"/>
    <x v="1"/>
    <x v="1"/>
  </r>
  <r>
    <n v="26270"/>
    <x v="1"/>
    <x v="0"/>
    <n v="20000"/>
    <n v="2"/>
    <x v="3"/>
    <s v="Clerical"/>
    <s v="Yes"/>
    <n v="2"/>
    <x v="3"/>
    <x v="2"/>
    <x v="38"/>
    <x v="0"/>
    <x v="0"/>
  </r>
  <r>
    <n v="22221"/>
    <x v="0"/>
    <x v="1"/>
    <n v="60000"/>
    <n v="2"/>
    <x v="2"/>
    <s v="Professional"/>
    <s v="No"/>
    <n v="2"/>
    <x v="3"/>
    <x v="2"/>
    <x v="28"/>
    <x v="0"/>
    <x v="1"/>
  </r>
  <r>
    <n v="28228"/>
    <x v="1"/>
    <x v="0"/>
    <n v="80000"/>
    <n v="2"/>
    <x v="3"/>
    <s v="Skilled Manual"/>
    <s v="No"/>
    <n v="2"/>
    <x v="3"/>
    <x v="2"/>
    <x v="5"/>
    <x v="1"/>
    <x v="0"/>
  </r>
  <r>
    <n v="18363"/>
    <x v="0"/>
    <x v="1"/>
    <n v="40000"/>
    <n v="0"/>
    <x v="2"/>
    <s v="Skilled Manual"/>
    <s v="Yes"/>
    <n v="2"/>
    <x v="2"/>
    <x v="2"/>
    <x v="26"/>
    <x v="0"/>
    <x v="1"/>
  </r>
  <r>
    <n v="23256"/>
    <x v="1"/>
    <x v="1"/>
    <n v="30000"/>
    <n v="1"/>
    <x v="2"/>
    <s v="Clerical"/>
    <s v="No"/>
    <n v="1"/>
    <x v="2"/>
    <x v="2"/>
    <x v="31"/>
    <x v="1"/>
    <x v="0"/>
  </r>
  <r>
    <n v="12768"/>
    <x v="0"/>
    <x v="1"/>
    <n v="30000"/>
    <n v="1"/>
    <x v="2"/>
    <s v="Clerical"/>
    <s v="Yes"/>
    <n v="1"/>
    <x v="1"/>
    <x v="2"/>
    <x v="31"/>
    <x v="1"/>
    <x v="1"/>
  </r>
  <r>
    <n v="20361"/>
    <x v="0"/>
    <x v="1"/>
    <n v="50000"/>
    <n v="2"/>
    <x v="4"/>
    <s v="Management"/>
    <s v="Yes"/>
    <n v="2"/>
    <x v="2"/>
    <x v="2"/>
    <x v="45"/>
    <x v="1"/>
    <x v="0"/>
  </r>
  <r>
    <n v="21306"/>
    <x v="1"/>
    <x v="1"/>
    <n v="60000"/>
    <n v="2"/>
    <x v="2"/>
    <s v="Professional"/>
    <s v="Yes"/>
    <n v="2"/>
    <x v="2"/>
    <x v="2"/>
    <x v="36"/>
    <x v="1"/>
    <x v="0"/>
  </r>
  <r>
    <n v="13382"/>
    <x v="0"/>
    <x v="1"/>
    <n v="70000"/>
    <n v="5"/>
    <x v="1"/>
    <s v="Professional"/>
    <s v="Yes"/>
    <n v="2"/>
    <x v="3"/>
    <x v="2"/>
    <x v="42"/>
    <x v="1"/>
    <x v="1"/>
  </r>
  <r>
    <n v="20310"/>
    <x v="1"/>
    <x v="1"/>
    <n v="60000"/>
    <n v="0"/>
    <x v="1"/>
    <s v="Skilled Manual"/>
    <s v="Yes"/>
    <n v="1"/>
    <x v="2"/>
    <x v="2"/>
    <x v="40"/>
    <x v="0"/>
    <x v="1"/>
  </r>
  <r>
    <n v="22971"/>
    <x v="1"/>
    <x v="0"/>
    <n v="30000"/>
    <n v="0"/>
    <x v="2"/>
    <s v="Skilled Manual"/>
    <s v="No"/>
    <n v="2"/>
    <x v="0"/>
    <x v="2"/>
    <x v="37"/>
    <x v="0"/>
    <x v="1"/>
  </r>
  <r>
    <n v="15287"/>
    <x v="1"/>
    <x v="0"/>
    <n v="50000"/>
    <n v="1"/>
    <x v="4"/>
    <s v="Skilled Manual"/>
    <s v="Yes"/>
    <n v="0"/>
    <x v="3"/>
    <x v="2"/>
    <x v="6"/>
    <x v="0"/>
    <x v="1"/>
  </r>
  <r>
    <n v="15532"/>
    <x v="1"/>
    <x v="1"/>
    <n v="60000"/>
    <n v="4"/>
    <x v="0"/>
    <s v="Professional"/>
    <s v="Yes"/>
    <n v="2"/>
    <x v="1"/>
    <x v="2"/>
    <x v="1"/>
    <x v="0"/>
    <x v="1"/>
  </r>
  <r>
    <n v="11255"/>
    <x v="0"/>
    <x v="1"/>
    <n v="70000"/>
    <n v="4"/>
    <x v="4"/>
    <s v="Management"/>
    <s v="Yes"/>
    <n v="2"/>
    <x v="2"/>
    <x v="2"/>
    <x v="49"/>
    <x v="1"/>
    <x v="0"/>
  </r>
  <r>
    <n v="28090"/>
    <x v="0"/>
    <x v="1"/>
    <n v="40000"/>
    <n v="0"/>
    <x v="1"/>
    <s v="Skilled Manual"/>
    <s v="Yes"/>
    <n v="1"/>
    <x v="2"/>
    <x v="2"/>
    <x v="40"/>
    <x v="0"/>
    <x v="0"/>
  </r>
  <r>
    <n v="15255"/>
    <x v="0"/>
    <x v="1"/>
    <n v="40000"/>
    <n v="0"/>
    <x v="2"/>
    <s v="Skilled Manual"/>
    <s v="Yes"/>
    <n v="2"/>
    <x v="2"/>
    <x v="2"/>
    <x v="26"/>
    <x v="0"/>
    <x v="1"/>
  </r>
  <r>
    <n v="13154"/>
    <x v="0"/>
    <x v="1"/>
    <n v="40000"/>
    <n v="0"/>
    <x v="2"/>
    <s v="Skilled Manual"/>
    <s v="No"/>
    <n v="2"/>
    <x v="0"/>
    <x v="2"/>
    <x v="40"/>
    <x v="0"/>
    <x v="1"/>
  </r>
  <r>
    <n v="26778"/>
    <x v="1"/>
    <x v="0"/>
    <n v="40000"/>
    <n v="0"/>
    <x v="2"/>
    <s v="Skilled Manual"/>
    <s v="Yes"/>
    <n v="2"/>
    <x v="2"/>
    <x v="2"/>
    <x v="23"/>
    <x v="0"/>
    <x v="0"/>
  </r>
  <r>
    <n v="23248"/>
    <x v="0"/>
    <x v="0"/>
    <n v="10000"/>
    <n v="2"/>
    <x v="2"/>
    <s v="Manual"/>
    <s v="Yes"/>
    <n v="2"/>
    <x v="3"/>
    <x v="2"/>
    <x v="39"/>
    <x v="1"/>
    <x v="0"/>
  </r>
  <r>
    <n v="21417"/>
    <x v="1"/>
    <x v="0"/>
    <n v="60000"/>
    <n v="0"/>
    <x v="1"/>
    <s v="Professional"/>
    <s v="No"/>
    <n v="2"/>
    <x v="3"/>
    <x v="2"/>
    <x v="21"/>
    <x v="0"/>
    <x v="1"/>
  </r>
  <r>
    <n v="17668"/>
    <x v="1"/>
    <x v="1"/>
    <n v="30000"/>
    <n v="2"/>
    <x v="2"/>
    <s v="Skilled Manual"/>
    <s v="Yes"/>
    <n v="2"/>
    <x v="3"/>
    <x v="2"/>
    <x v="5"/>
    <x v="1"/>
    <x v="1"/>
  </r>
  <r>
    <n v="27994"/>
    <x v="0"/>
    <x v="0"/>
    <n v="40000"/>
    <n v="4"/>
    <x v="2"/>
    <s v="Professional"/>
    <s v="Yes"/>
    <n v="2"/>
    <x v="2"/>
    <x v="2"/>
    <x v="45"/>
    <x v="1"/>
    <x v="0"/>
  </r>
  <r>
    <n v="20376"/>
    <x v="1"/>
    <x v="0"/>
    <n v="70000"/>
    <n v="3"/>
    <x v="4"/>
    <s v="Management"/>
    <s v="Yes"/>
    <n v="2"/>
    <x v="2"/>
    <x v="2"/>
    <x v="31"/>
    <x v="1"/>
    <x v="1"/>
  </r>
  <r>
    <n v="25954"/>
    <x v="0"/>
    <x v="1"/>
    <n v="60000"/>
    <n v="0"/>
    <x v="1"/>
    <s v="Skilled Manual"/>
    <s v="No"/>
    <n v="2"/>
    <x v="3"/>
    <x v="2"/>
    <x v="23"/>
    <x v="0"/>
    <x v="0"/>
  </r>
  <r>
    <n v="15749"/>
    <x v="1"/>
    <x v="0"/>
    <n v="70000"/>
    <n v="4"/>
    <x v="0"/>
    <s v="Management"/>
    <s v="Yes"/>
    <n v="2"/>
    <x v="4"/>
    <x v="2"/>
    <x v="33"/>
    <x v="1"/>
    <x v="0"/>
  </r>
  <r>
    <n v="25899"/>
    <x v="0"/>
    <x v="0"/>
    <n v="70000"/>
    <n v="2"/>
    <x v="2"/>
    <s v="Professional"/>
    <s v="Yes"/>
    <n v="2"/>
    <x v="4"/>
    <x v="2"/>
    <x v="39"/>
    <x v="1"/>
    <x v="0"/>
  </r>
  <r>
    <n v="13351"/>
    <x v="1"/>
    <x v="0"/>
    <n v="70000"/>
    <n v="4"/>
    <x v="0"/>
    <s v="Management"/>
    <s v="Yes"/>
    <n v="2"/>
    <x v="3"/>
    <x v="2"/>
    <x v="24"/>
    <x v="1"/>
    <x v="1"/>
  </r>
  <r>
    <n v="23333"/>
    <x v="0"/>
    <x v="1"/>
    <n v="40000"/>
    <n v="0"/>
    <x v="1"/>
    <s v="Skilled Manual"/>
    <s v="No"/>
    <n v="2"/>
    <x v="3"/>
    <x v="2"/>
    <x v="25"/>
    <x v="0"/>
    <x v="0"/>
  </r>
  <r>
    <n v="21660"/>
    <x v="0"/>
    <x v="0"/>
    <n v="60000"/>
    <n v="3"/>
    <x v="4"/>
    <s v="Professional"/>
    <s v="Yes"/>
    <n v="0"/>
    <x v="1"/>
    <x v="2"/>
    <x v="1"/>
    <x v="0"/>
    <x v="1"/>
  </r>
  <r>
    <n v="17012"/>
    <x v="0"/>
    <x v="0"/>
    <n v="60000"/>
    <n v="3"/>
    <x v="4"/>
    <s v="Professional"/>
    <s v="Yes"/>
    <n v="0"/>
    <x v="1"/>
    <x v="2"/>
    <x v="0"/>
    <x v="0"/>
    <x v="1"/>
  </r>
  <r>
    <n v="24514"/>
    <x v="0"/>
    <x v="1"/>
    <n v="40000"/>
    <n v="0"/>
    <x v="1"/>
    <s v="Skilled Manual"/>
    <s v="Yes"/>
    <n v="1"/>
    <x v="2"/>
    <x v="2"/>
    <x v="25"/>
    <x v="0"/>
    <x v="0"/>
  </r>
  <r>
    <n v="27505"/>
    <x v="1"/>
    <x v="0"/>
    <n v="40000"/>
    <n v="0"/>
    <x v="2"/>
    <s v="Skilled Manual"/>
    <s v="Yes"/>
    <n v="2"/>
    <x v="2"/>
    <x v="2"/>
    <x v="25"/>
    <x v="0"/>
    <x v="0"/>
  </r>
  <r>
    <n v="29243"/>
    <x v="1"/>
    <x v="1"/>
    <n v="110000"/>
    <n v="1"/>
    <x v="0"/>
    <s v="Management"/>
    <s v="Yes"/>
    <n v="1"/>
    <x v="2"/>
    <x v="2"/>
    <x v="1"/>
    <x v="0"/>
    <x v="0"/>
  </r>
  <r>
    <n v="26582"/>
    <x v="0"/>
    <x v="1"/>
    <n v="60000"/>
    <n v="0"/>
    <x v="1"/>
    <s v="Skilled Manual"/>
    <s v="Yes"/>
    <n v="2"/>
    <x v="2"/>
    <x v="2"/>
    <x v="6"/>
    <x v="0"/>
    <x v="1"/>
  </r>
  <r>
    <n v="14271"/>
    <x v="0"/>
    <x v="1"/>
    <n v="30000"/>
    <n v="0"/>
    <x v="2"/>
    <s v="Skilled Manual"/>
    <s v="Yes"/>
    <n v="2"/>
    <x v="2"/>
    <x v="2"/>
    <x v="21"/>
    <x v="0"/>
    <x v="0"/>
  </r>
  <r>
    <n v="23041"/>
    <x v="1"/>
    <x v="0"/>
    <n v="70000"/>
    <n v="4"/>
    <x v="2"/>
    <s v="Professional"/>
    <s v="Yes"/>
    <n v="0"/>
    <x v="2"/>
    <x v="2"/>
    <x v="5"/>
    <x v="1"/>
    <x v="1"/>
  </r>
  <r>
    <n v="29048"/>
    <x v="1"/>
    <x v="1"/>
    <n v="110000"/>
    <n v="2"/>
    <x v="0"/>
    <s v="Management"/>
    <s v="No"/>
    <n v="3"/>
    <x v="0"/>
    <x v="2"/>
    <x v="34"/>
    <x v="0"/>
    <x v="1"/>
  </r>
  <r>
    <n v="24433"/>
    <x v="0"/>
    <x v="1"/>
    <n v="70000"/>
    <n v="3"/>
    <x v="2"/>
    <s v="Professional"/>
    <s v="No"/>
    <n v="1"/>
    <x v="3"/>
    <x v="2"/>
    <x v="31"/>
    <x v="1"/>
    <x v="1"/>
  </r>
  <r>
    <n v="15501"/>
    <x v="0"/>
    <x v="1"/>
    <n v="70000"/>
    <n v="4"/>
    <x v="4"/>
    <s v="Professional"/>
    <s v="Yes"/>
    <n v="0"/>
    <x v="1"/>
    <x v="2"/>
    <x v="4"/>
    <x v="0"/>
    <x v="1"/>
  </r>
  <r>
    <n v="13911"/>
    <x v="1"/>
    <x v="0"/>
    <n v="80000"/>
    <n v="3"/>
    <x v="0"/>
    <s v="Skilled Manual"/>
    <s v="Yes"/>
    <n v="2"/>
    <x v="1"/>
    <x v="2"/>
    <x v="3"/>
    <x v="0"/>
    <x v="1"/>
  </r>
  <r>
    <n v="20421"/>
    <x v="1"/>
    <x v="0"/>
    <n v="40000"/>
    <n v="0"/>
    <x v="3"/>
    <s v="Clerical"/>
    <s v="Yes"/>
    <n v="2"/>
    <x v="2"/>
    <x v="2"/>
    <x v="22"/>
    <x v="0"/>
    <x v="0"/>
  </r>
  <r>
    <n v="16009"/>
    <x v="1"/>
    <x v="1"/>
    <n v="170000"/>
    <n v="1"/>
    <x v="4"/>
    <s v="Management"/>
    <s v="No"/>
    <n v="4"/>
    <x v="0"/>
    <x v="2"/>
    <x v="29"/>
    <x v="1"/>
    <x v="0"/>
  </r>
  <r>
    <n v="18411"/>
    <x v="0"/>
    <x v="1"/>
    <n v="60000"/>
    <n v="2"/>
    <x v="2"/>
    <s v="Professional"/>
    <s v="No"/>
    <n v="2"/>
    <x v="2"/>
    <x v="2"/>
    <x v="36"/>
    <x v="1"/>
    <x v="0"/>
  </r>
  <r>
    <n v="19163"/>
    <x v="0"/>
    <x v="0"/>
    <n v="70000"/>
    <n v="4"/>
    <x v="0"/>
    <s v="Professional"/>
    <s v="Yes"/>
    <n v="2"/>
    <x v="0"/>
    <x v="2"/>
    <x v="1"/>
    <x v="0"/>
    <x v="1"/>
  </r>
  <r>
    <n v="18572"/>
    <x v="0"/>
    <x v="0"/>
    <n v="60000"/>
    <n v="0"/>
    <x v="4"/>
    <s v="Professional"/>
    <s v="Yes"/>
    <n v="0"/>
    <x v="0"/>
    <x v="2"/>
    <x v="32"/>
    <x v="0"/>
    <x v="0"/>
  </r>
  <r>
    <n v="27540"/>
    <x v="1"/>
    <x v="0"/>
    <n v="70000"/>
    <n v="0"/>
    <x v="0"/>
    <s v="Professional"/>
    <s v="No"/>
    <n v="1"/>
    <x v="0"/>
    <x v="2"/>
    <x v="34"/>
    <x v="0"/>
    <x v="1"/>
  </r>
  <r>
    <n v="19889"/>
    <x v="1"/>
    <x v="0"/>
    <n v="70000"/>
    <n v="2"/>
    <x v="3"/>
    <s v="Skilled Manual"/>
    <s v="No"/>
    <n v="2"/>
    <x v="1"/>
    <x v="2"/>
    <x v="9"/>
    <x v="1"/>
    <x v="1"/>
  </r>
  <r>
    <n v="12922"/>
    <x v="1"/>
    <x v="0"/>
    <n v="60000"/>
    <n v="3"/>
    <x v="0"/>
    <s v="Skilled Manual"/>
    <s v="Yes"/>
    <n v="0"/>
    <x v="1"/>
    <x v="2"/>
    <x v="8"/>
    <x v="0"/>
    <x v="1"/>
  </r>
  <r>
    <n v="18891"/>
    <x v="0"/>
    <x v="0"/>
    <n v="40000"/>
    <n v="0"/>
    <x v="1"/>
    <s v="Skilled Manual"/>
    <s v="Yes"/>
    <n v="2"/>
    <x v="2"/>
    <x v="2"/>
    <x v="26"/>
    <x v="0"/>
    <x v="0"/>
  </r>
  <r>
    <n v="16773"/>
    <x v="0"/>
    <x v="1"/>
    <n v="60000"/>
    <n v="1"/>
    <x v="4"/>
    <s v="Skilled Manual"/>
    <s v="Yes"/>
    <n v="0"/>
    <x v="0"/>
    <x v="2"/>
    <x v="6"/>
    <x v="0"/>
    <x v="0"/>
  </r>
  <r>
    <n v="19143"/>
    <x v="1"/>
    <x v="0"/>
    <n v="80000"/>
    <n v="3"/>
    <x v="0"/>
    <s v="Skilled Manual"/>
    <s v="Yes"/>
    <n v="2"/>
    <x v="1"/>
    <x v="2"/>
    <x v="3"/>
    <x v="0"/>
    <x v="1"/>
  </r>
  <r>
    <n v="23882"/>
    <x v="1"/>
    <x v="0"/>
    <n v="80000"/>
    <n v="3"/>
    <x v="4"/>
    <s v="Professional"/>
    <s v="Yes"/>
    <n v="0"/>
    <x v="0"/>
    <x v="2"/>
    <x v="34"/>
    <x v="0"/>
    <x v="1"/>
  </r>
  <r>
    <n v="11233"/>
    <x v="0"/>
    <x v="1"/>
    <n v="70000"/>
    <n v="4"/>
    <x v="1"/>
    <s v="Professional"/>
    <s v="Yes"/>
    <n v="2"/>
    <x v="4"/>
    <x v="2"/>
    <x v="39"/>
    <x v="1"/>
    <x v="0"/>
  </r>
  <r>
    <n v="12056"/>
    <x v="0"/>
    <x v="1"/>
    <n v="120000"/>
    <n v="2"/>
    <x v="4"/>
    <s v="Management"/>
    <s v="Yes"/>
    <n v="3"/>
    <x v="2"/>
    <x v="2"/>
    <x v="46"/>
    <x v="1"/>
    <x v="0"/>
  </r>
  <r>
    <n v="15555"/>
    <x v="0"/>
    <x v="0"/>
    <n v="60000"/>
    <n v="1"/>
    <x v="1"/>
    <s v="Skilled Manual"/>
    <s v="Yes"/>
    <n v="1"/>
    <x v="1"/>
    <x v="2"/>
    <x v="12"/>
    <x v="0"/>
    <x v="1"/>
  </r>
  <r>
    <n v="18423"/>
    <x v="1"/>
    <x v="1"/>
    <n v="80000"/>
    <n v="2"/>
    <x v="3"/>
    <s v="Skilled Manual"/>
    <s v="No"/>
    <n v="2"/>
    <x v="3"/>
    <x v="2"/>
    <x v="31"/>
    <x v="1"/>
    <x v="0"/>
  </r>
  <r>
    <n v="22743"/>
    <x v="0"/>
    <x v="0"/>
    <n v="40000"/>
    <n v="5"/>
    <x v="2"/>
    <s v="Professional"/>
    <s v="Yes"/>
    <n v="2"/>
    <x v="4"/>
    <x v="2"/>
    <x v="2"/>
    <x v="1"/>
    <x v="0"/>
  </r>
  <r>
    <n v="25343"/>
    <x v="1"/>
    <x v="0"/>
    <n v="20000"/>
    <n v="3"/>
    <x v="3"/>
    <s v="Clerical"/>
    <s v="Yes"/>
    <n v="2"/>
    <x v="3"/>
    <x v="2"/>
    <x v="5"/>
    <x v="1"/>
    <x v="0"/>
  </r>
  <r>
    <n v="13390"/>
    <x v="0"/>
    <x v="0"/>
    <n v="70000"/>
    <n v="4"/>
    <x v="1"/>
    <s v="Professional"/>
    <s v="No"/>
    <n v="1"/>
    <x v="3"/>
    <x v="2"/>
    <x v="16"/>
    <x v="1"/>
    <x v="0"/>
  </r>
  <r>
    <n v="17482"/>
    <x v="1"/>
    <x v="0"/>
    <n v="40000"/>
    <n v="0"/>
    <x v="3"/>
    <s v="Clerical"/>
    <s v="Yes"/>
    <n v="2"/>
    <x v="2"/>
    <x v="2"/>
    <x v="19"/>
    <x v="0"/>
    <x v="0"/>
  </r>
  <r>
    <n v="13176"/>
    <x v="1"/>
    <x v="1"/>
    <n v="130000"/>
    <n v="0"/>
    <x v="4"/>
    <s v="Management"/>
    <s v="No"/>
    <n v="2"/>
    <x v="0"/>
    <x v="2"/>
    <x v="13"/>
    <x v="0"/>
    <x v="1"/>
  </r>
  <r>
    <n v="20504"/>
    <x v="0"/>
    <x v="0"/>
    <n v="40000"/>
    <n v="5"/>
    <x v="2"/>
    <s v="Professional"/>
    <s v="No"/>
    <n v="2"/>
    <x v="1"/>
    <x v="2"/>
    <x v="2"/>
    <x v="1"/>
    <x v="0"/>
  </r>
  <r>
    <n v="12205"/>
    <x v="1"/>
    <x v="0"/>
    <n v="130000"/>
    <n v="2"/>
    <x v="0"/>
    <s v="Management"/>
    <s v="No"/>
    <n v="4"/>
    <x v="0"/>
    <x v="2"/>
    <x v="41"/>
    <x v="1"/>
    <x v="0"/>
  </r>
  <r>
    <n v="16751"/>
    <x v="0"/>
    <x v="1"/>
    <n v="60000"/>
    <n v="0"/>
    <x v="1"/>
    <s v="Skilled Manual"/>
    <s v="Yes"/>
    <n v="1"/>
    <x v="2"/>
    <x v="2"/>
    <x v="21"/>
    <x v="0"/>
    <x v="1"/>
  </r>
  <r>
    <n v="21613"/>
    <x v="1"/>
    <x v="1"/>
    <n v="50000"/>
    <n v="2"/>
    <x v="0"/>
    <s v="Skilled Manual"/>
    <s v="No"/>
    <n v="1"/>
    <x v="0"/>
    <x v="2"/>
    <x v="32"/>
    <x v="0"/>
    <x v="1"/>
  </r>
  <r>
    <n v="24801"/>
    <x v="1"/>
    <x v="1"/>
    <n v="60000"/>
    <n v="1"/>
    <x v="4"/>
    <s v="Professional"/>
    <s v="Yes"/>
    <n v="0"/>
    <x v="1"/>
    <x v="2"/>
    <x v="11"/>
    <x v="0"/>
    <x v="1"/>
  </r>
  <r>
    <n v="17519"/>
    <x v="0"/>
    <x v="0"/>
    <n v="60000"/>
    <n v="0"/>
    <x v="1"/>
    <s v="Professional"/>
    <s v="Yes"/>
    <n v="2"/>
    <x v="2"/>
    <x v="2"/>
    <x v="21"/>
    <x v="0"/>
    <x v="0"/>
  </r>
  <r>
    <n v="18347"/>
    <x v="1"/>
    <x v="0"/>
    <n v="30000"/>
    <n v="0"/>
    <x v="1"/>
    <s v="Skilled Manual"/>
    <s v="No"/>
    <n v="1"/>
    <x v="3"/>
    <x v="2"/>
    <x v="23"/>
    <x v="0"/>
    <x v="0"/>
  </r>
  <r>
    <n v="29052"/>
    <x v="1"/>
    <x v="1"/>
    <n v="40000"/>
    <n v="0"/>
    <x v="1"/>
    <s v="Skilled Manual"/>
    <s v="Yes"/>
    <n v="1"/>
    <x v="2"/>
    <x v="2"/>
    <x v="40"/>
    <x v="0"/>
    <x v="0"/>
  </r>
  <r>
    <n v="11745"/>
    <x v="0"/>
    <x v="0"/>
    <n v="60000"/>
    <n v="1"/>
    <x v="0"/>
    <s v="Professional"/>
    <s v="Yes"/>
    <n v="1"/>
    <x v="0"/>
    <x v="2"/>
    <x v="15"/>
    <x v="0"/>
    <x v="1"/>
  </r>
  <r>
    <n v="19147"/>
    <x v="0"/>
    <x v="1"/>
    <n v="40000"/>
    <n v="0"/>
    <x v="0"/>
    <s v="Professional"/>
    <s v="No"/>
    <n v="1"/>
    <x v="0"/>
    <x v="2"/>
    <x v="0"/>
    <x v="0"/>
    <x v="0"/>
  </r>
  <r>
    <n v="19217"/>
    <x v="0"/>
    <x v="1"/>
    <n v="30000"/>
    <n v="2"/>
    <x v="2"/>
    <s v="Skilled Manual"/>
    <s v="Yes"/>
    <n v="2"/>
    <x v="3"/>
    <x v="2"/>
    <x v="38"/>
    <x v="0"/>
    <x v="0"/>
  </r>
  <r>
    <n v="15839"/>
    <x v="1"/>
    <x v="1"/>
    <n v="30000"/>
    <n v="0"/>
    <x v="1"/>
    <s v="Skilled Manual"/>
    <s v="Yes"/>
    <n v="1"/>
    <x v="2"/>
    <x v="2"/>
    <x v="21"/>
    <x v="0"/>
    <x v="0"/>
  </r>
  <r>
    <n v="13714"/>
    <x v="0"/>
    <x v="0"/>
    <n v="20000"/>
    <n v="2"/>
    <x v="2"/>
    <s v="Manual"/>
    <s v="No"/>
    <n v="2"/>
    <x v="3"/>
    <x v="2"/>
    <x v="39"/>
    <x v="1"/>
    <x v="1"/>
  </r>
  <r>
    <n v="22330"/>
    <x v="0"/>
    <x v="1"/>
    <n v="50000"/>
    <n v="0"/>
    <x v="4"/>
    <s v="Skilled Manual"/>
    <s v="Yes"/>
    <n v="0"/>
    <x v="3"/>
    <x v="2"/>
    <x v="21"/>
    <x v="0"/>
    <x v="1"/>
  </r>
  <r>
    <n v="18783"/>
    <x v="1"/>
    <x v="1"/>
    <n v="80000"/>
    <n v="0"/>
    <x v="0"/>
    <s v="Management"/>
    <s v="No"/>
    <n v="1"/>
    <x v="0"/>
    <x v="2"/>
    <x v="13"/>
    <x v="0"/>
    <x v="1"/>
  </r>
  <r>
    <n v="25041"/>
    <x v="1"/>
    <x v="1"/>
    <n v="40000"/>
    <n v="0"/>
    <x v="2"/>
    <s v="Skilled Manual"/>
    <s v="Yes"/>
    <n v="2"/>
    <x v="2"/>
    <x v="2"/>
    <x v="23"/>
    <x v="0"/>
    <x v="0"/>
  </r>
  <r>
    <n v="22046"/>
    <x v="1"/>
    <x v="0"/>
    <n v="80000"/>
    <n v="0"/>
    <x v="0"/>
    <s v="Management"/>
    <s v="No"/>
    <n v="1"/>
    <x v="0"/>
    <x v="2"/>
    <x v="13"/>
    <x v="0"/>
    <x v="1"/>
  </r>
  <r>
    <n v="28052"/>
    <x v="0"/>
    <x v="1"/>
    <n v="60000"/>
    <n v="2"/>
    <x v="2"/>
    <s v="Professional"/>
    <s v="Yes"/>
    <n v="2"/>
    <x v="4"/>
    <x v="2"/>
    <x v="10"/>
    <x v="1"/>
    <x v="0"/>
  </r>
  <r>
    <n v="26693"/>
    <x v="0"/>
    <x v="1"/>
    <n v="70000"/>
    <n v="3"/>
    <x v="1"/>
    <s v="Professional"/>
    <s v="Yes"/>
    <n v="1"/>
    <x v="2"/>
    <x v="2"/>
    <x v="38"/>
    <x v="0"/>
    <x v="0"/>
  </r>
  <r>
    <n v="24955"/>
    <x v="1"/>
    <x v="1"/>
    <n v="30000"/>
    <n v="5"/>
    <x v="3"/>
    <s v="Skilled Manual"/>
    <s v="Yes"/>
    <n v="3"/>
    <x v="4"/>
    <x v="2"/>
    <x v="2"/>
    <x v="1"/>
    <x v="1"/>
  </r>
  <r>
    <n v="26065"/>
    <x v="1"/>
    <x v="0"/>
    <n v="110000"/>
    <n v="3"/>
    <x v="0"/>
    <s v="Management"/>
    <s v="No"/>
    <n v="4"/>
    <x v="3"/>
    <x v="2"/>
    <x v="0"/>
    <x v="0"/>
    <x v="0"/>
  </r>
  <r>
    <n v="13942"/>
    <x v="0"/>
    <x v="1"/>
    <n v="60000"/>
    <n v="1"/>
    <x v="1"/>
    <s v="Skilled Manual"/>
    <s v="Yes"/>
    <n v="1"/>
    <x v="0"/>
    <x v="2"/>
    <x v="30"/>
    <x v="0"/>
    <x v="0"/>
  </r>
  <r>
    <n v="11219"/>
    <x v="0"/>
    <x v="1"/>
    <n v="60000"/>
    <n v="2"/>
    <x v="2"/>
    <s v="Professional"/>
    <s v="Yes"/>
    <n v="2"/>
    <x v="4"/>
    <x v="2"/>
    <x v="10"/>
    <x v="1"/>
    <x v="0"/>
  </r>
  <r>
    <n v="22118"/>
    <x v="1"/>
    <x v="0"/>
    <n v="70000"/>
    <n v="3"/>
    <x v="4"/>
    <s v="Management"/>
    <s v="Yes"/>
    <n v="2"/>
    <x v="2"/>
    <x v="2"/>
    <x v="39"/>
    <x v="1"/>
    <x v="1"/>
  </r>
  <r>
    <n v="23197"/>
    <x v="0"/>
    <x v="1"/>
    <n v="50000"/>
    <n v="3"/>
    <x v="0"/>
    <s v="Skilled Manual"/>
    <s v="Yes"/>
    <n v="2"/>
    <x v="1"/>
    <x v="2"/>
    <x v="8"/>
    <x v="0"/>
    <x v="0"/>
  </r>
  <r>
    <n v="14883"/>
    <x v="0"/>
    <x v="0"/>
    <n v="30000"/>
    <n v="1"/>
    <x v="0"/>
    <s v="Skilled Manual"/>
    <s v="Yes"/>
    <n v="1"/>
    <x v="2"/>
    <x v="2"/>
    <x v="39"/>
    <x v="1"/>
    <x v="1"/>
  </r>
  <r>
    <n v="27279"/>
    <x v="1"/>
    <x v="0"/>
    <n v="70000"/>
    <n v="2"/>
    <x v="0"/>
    <s v="Skilled Manual"/>
    <s v="Yes"/>
    <n v="0"/>
    <x v="1"/>
    <x v="2"/>
    <x v="13"/>
    <x v="0"/>
    <x v="1"/>
  </r>
  <r>
    <n v="18322"/>
    <x v="1"/>
    <x v="1"/>
    <n v="30000"/>
    <n v="0"/>
    <x v="3"/>
    <s v="Clerical"/>
    <s v="No"/>
    <n v="2"/>
    <x v="0"/>
    <x v="2"/>
    <x v="22"/>
    <x v="0"/>
    <x v="0"/>
  </r>
  <r>
    <n v="15879"/>
    <x v="0"/>
    <x v="1"/>
    <n v="70000"/>
    <n v="5"/>
    <x v="0"/>
    <s v="Management"/>
    <s v="Yes"/>
    <n v="2"/>
    <x v="1"/>
    <x v="2"/>
    <x v="33"/>
    <x v="1"/>
    <x v="0"/>
  </r>
  <r>
    <n v="28278"/>
    <x v="0"/>
    <x v="1"/>
    <n v="50000"/>
    <n v="2"/>
    <x v="4"/>
    <s v="Management"/>
    <s v="Yes"/>
    <n v="2"/>
    <x v="2"/>
    <x v="2"/>
    <x v="51"/>
    <x v="1"/>
    <x v="0"/>
  </r>
  <r>
    <n v="24416"/>
    <x v="0"/>
    <x v="1"/>
    <n v="90000"/>
    <n v="4"/>
    <x v="2"/>
    <s v="Professional"/>
    <s v="Yes"/>
    <n v="2"/>
    <x v="3"/>
    <x v="2"/>
    <x v="12"/>
    <x v="0"/>
    <x v="0"/>
  </r>
  <r>
    <n v="28066"/>
    <x v="0"/>
    <x v="1"/>
    <n v="80000"/>
    <n v="2"/>
    <x v="4"/>
    <s v="Professional"/>
    <s v="Yes"/>
    <n v="0"/>
    <x v="0"/>
    <x v="2"/>
    <x v="34"/>
    <x v="0"/>
    <x v="1"/>
  </r>
  <r>
    <n v="11275"/>
    <x v="0"/>
    <x v="0"/>
    <n v="80000"/>
    <n v="4"/>
    <x v="4"/>
    <s v="Management"/>
    <s v="Yes"/>
    <n v="2"/>
    <x v="0"/>
    <x v="2"/>
    <x v="52"/>
    <x v="1"/>
    <x v="1"/>
  </r>
  <r>
    <n v="14872"/>
    <x v="0"/>
    <x v="1"/>
    <n v="30000"/>
    <n v="0"/>
    <x v="4"/>
    <s v="Skilled Manual"/>
    <s v="Yes"/>
    <n v="0"/>
    <x v="0"/>
    <x v="2"/>
    <x v="21"/>
    <x v="0"/>
    <x v="0"/>
  </r>
  <r>
    <n v="16151"/>
    <x v="0"/>
    <x v="0"/>
    <n v="60000"/>
    <n v="1"/>
    <x v="0"/>
    <s v="Professional"/>
    <s v="Yes"/>
    <n v="1"/>
    <x v="1"/>
    <x v="2"/>
    <x v="28"/>
    <x v="0"/>
    <x v="1"/>
  </r>
  <r>
    <n v="19731"/>
    <x v="0"/>
    <x v="1"/>
    <n v="80000"/>
    <n v="4"/>
    <x v="4"/>
    <s v="Management"/>
    <s v="Yes"/>
    <n v="2"/>
    <x v="2"/>
    <x v="2"/>
    <x v="35"/>
    <x v="1"/>
    <x v="0"/>
  </r>
  <r>
    <n v="23801"/>
    <x v="0"/>
    <x v="0"/>
    <n v="20000"/>
    <n v="2"/>
    <x v="3"/>
    <s v="Clerical"/>
    <s v="Yes"/>
    <n v="2"/>
    <x v="0"/>
    <x v="2"/>
    <x v="38"/>
    <x v="0"/>
    <x v="0"/>
  </r>
  <r>
    <n v="11807"/>
    <x v="0"/>
    <x v="1"/>
    <n v="70000"/>
    <n v="3"/>
    <x v="4"/>
    <s v="Professional"/>
    <s v="Yes"/>
    <n v="0"/>
    <x v="1"/>
    <x v="2"/>
    <x v="17"/>
    <x v="0"/>
    <x v="0"/>
  </r>
  <r>
    <n v="11622"/>
    <x v="0"/>
    <x v="1"/>
    <n v="50000"/>
    <n v="0"/>
    <x v="4"/>
    <s v="Skilled Manual"/>
    <s v="Yes"/>
    <n v="0"/>
    <x v="0"/>
    <x v="2"/>
    <x v="21"/>
    <x v="0"/>
    <x v="0"/>
  </r>
  <r>
    <n v="26597"/>
    <x v="1"/>
    <x v="0"/>
    <n v="60000"/>
    <n v="4"/>
    <x v="0"/>
    <s v="Skilled Manual"/>
    <s v="No"/>
    <n v="2"/>
    <x v="0"/>
    <x v="2"/>
    <x v="0"/>
    <x v="0"/>
    <x v="0"/>
  </r>
  <r>
    <n v="27074"/>
    <x v="0"/>
    <x v="0"/>
    <n v="70000"/>
    <n v="1"/>
    <x v="4"/>
    <s v="Skilled Manual"/>
    <s v="Yes"/>
    <n v="0"/>
    <x v="0"/>
    <x v="2"/>
    <x v="11"/>
    <x v="0"/>
    <x v="1"/>
  </r>
  <r>
    <n v="19228"/>
    <x v="0"/>
    <x v="0"/>
    <n v="40000"/>
    <n v="2"/>
    <x v="1"/>
    <s v="Clerical"/>
    <s v="Yes"/>
    <n v="1"/>
    <x v="0"/>
    <x v="2"/>
    <x v="28"/>
    <x v="0"/>
    <x v="0"/>
  </r>
  <r>
    <n v="13415"/>
    <x v="1"/>
    <x v="1"/>
    <n v="100000"/>
    <n v="1"/>
    <x v="4"/>
    <s v="Management"/>
    <s v="Yes"/>
    <n v="3"/>
    <x v="1"/>
    <x v="2"/>
    <x v="49"/>
    <x v="1"/>
    <x v="1"/>
  </r>
  <r>
    <n v="17000"/>
    <x v="1"/>
    <x v="0"/>
    <n v="70000"/>
    <n v="4"/>
    <x v="0"/>
    <s v="Skilled Manual"/>
    <s v="Yes"/>
    <n v="2"/>
    <x v="1"/>
    <x v="2"/>
    <x v="1"/>
    <x v="0"/>
    <x v="1"/>
  </r>
  <r>
    <n v="14569"/>
    <x v="0"/>
    <x v="1"/>
    <n v="60000"/>
    <n v="1"/>
    <x v="4"/>
    <s v="Professional"/>
    <s v="Yes"/>
    <n v="0"/>
    <x v="0"/>
    <x v="2"/>
    <x v="11"/>
    <x v="0"/>
    <x v="0"/>
  </r>
  <r>
    <n v="13873"/>
    <x v="0"/>
    <x v="1"/>
    <n v="70000"/>
    <n v="3"/>
    <x v="4"/>
    <s v="Professional"/>
    <s v="Yes"/>
    <n v="0"/>
    <x v="0"/>
    <x v="2"/>
    <x v="11"/>
    <x v="0"/>
    <x v="1"/>
  </r>
  <r>
    <n v="20401"/>
    <x v="0"/>
    <x v="0"/>
    <n v="50000"/>
    <n v="4"/>
    <x v="0"/>
    <s v="Management"/>
    <s v="Yes"/>
    <n v="2"/>
    <x v="3"/>
    <x v="2"/>
    <x v="46"/>
    <x v="1"/>
    <x v="1"/>
  </r>
  <r>
    <n v="21583"/>
    <x v="0"/>
    <x v="0"/>
    <n v="50000"/>
    <n v="1"/>
    <x v="0"/>
    <s v="Skilled Manual"/>
    <s v="Yes"/>
    <n v="0"/>
    <x v="0"/>
    <x v="2"/>
    <x v="17"/>
    <x v="0"/>
    <x v="1"/>
  </r>
  <r>
    <n v="12029"/>
    <x v="0"/>
    <x v="1"/>
    <n v="30000"/>
    <n v="0"/>
    <x v="3"/>
    <s v="Clerical"/>
    <s v="No"/>
    <n v="2"/>
    <x v="0"/>
    <x v="2"/>
    <x v="26"/>
    <x v="0"/>
    <x v="0"/>
  </r>
  <r>
    <n v="18066"/>
    <x v="1"/>
    <x v="1"/>
    <n v="70000"/>
    <n v="5"/>
    <x v="0"/>
    <s v="Management"/>
    <s v="Yes"/>
    <n v="3"/>
    <x v="4"/>
    <x v="2"/>
    <x v="2"/>
    <x v="1"/>
    <x v="1"/>
  </r>
  <r>
    <n v="28192"/>
    <x v="0"/>
    <x v="0"/>
    <n v="70000"/>
    <n v="5"/>
    <x v="4"/>
    <s v="Professional"/>
    <s v="Yes"/>
    <n v="3"/>
    <x v="4"/>
    <x v="2"/>
    <x v="30"/>
    <x v="0"/>
    <x v="0"/>
  </r>
  <r>
    <n v="16122"/>
    <x v="0"/>
    <x v="1"/>
    <n v="40000"/>
    <n v="4"/>
    <x v="2"/>
    <s v="Skilled Manual"/>
    <s v="Yes"/>
    <n v="2"/>
    <x v="0"/>
    <x v="2"/>
    <x v="20"/>
    <x v="0"/>
    <x v="1"/>
  </r>
  <r>
    <n v="18607"/>
    <x v="1"/>
    <x v="0"/>
    <n v="60000"/>
    <n v="4"/>
    <x v="0"/>
    <s v="Skilled Manual"/>
    <s v="Yes"/>
    <n v="2"/>
    <x v="1"/>
    <x v="2"/>
    <x v="0"/>
    <x v="0"/>
    <x v="1"/>
  </r>
  <r>
    <n v="28858"/>
    <x v="1"/>
    <x v="1"/>
    <n v="80000"/>
    <n v="3"/>
    <x v="0"/>
    <s v="Skilled Manual"/>
    <s v="Yes"/>
    <n v="0"/>
    <x v="1"/>
    <x v="2"/>
    <x v="8"/>
    <x v="0"/>
    <x v="0"/>
  </r>
  <r>
    <n v="14432"/>
    <x v="1"/>
    <x v="1"/>
    <n v="90000"/>
    <n v="4"/>
    <x v="4"/>
    <s v="Management"/>
    <s v="Yes"/>
    <n v="1"/>
    <x v="2"/>
    <x v="2"/>
    <x v="49"/>
    <x v="1"/>
    <x v="0"/>
  </r>
  <r>
    <n v="26305"/>
    <x v="1"/>
    <x v="0"/>
    <n v="60000"/>
    <n v="2"/>
    <x v="0"/>
    <s v="Skilled Manual"/>
    <s v="No"/>
    <n v="0"/>
    <x v="0"/>
    <x v="2"/>
    <x v="4"/>
    <x v="0"/>
    <x v="1"/>
  </r>
  <r>
    <n v="22050"/>
    <x v="1"/>
    <x v="1"/>
    <n v="90000"/>
    <n v="4"/>
    <x v="0"/>
    <s v="Management"/>
    <s v="Yes"/>
    <n v="1"/>
    <x v="3"/>
    <x v="2"/>
    <x v="13"/>
    <x v="0"/>
    <x v="1"/>
  </r>
  <r>
    <n v="25394"/>
    <x v="0"/>
    <x v="1"/>
    <n v="60000"/>
    <n v="1"/>
    <x v="4"/>
    <s v="Professional"/>
    <s v="Yes"/>
    <n v="0"/>
    <x v="1"/>
    <x v="2"/>
    <x v="17"/>
    <x v="0"/>
    <x v="1"/>
  </r>
  <r>
    <n v="19747"/>
    <x v="0"/>
    <x v="1"/>
    <n v="50000"/>
    <n v="4"/>
    <x v="0"/>
    <s v="Management"/>
    <s v="Yes"/>
    <n v="2"/>
    <x v="4"/>
    <x v="2"/>
    <x v="18"/>
    <x v="1"/>
    <x v="0"/>
  </r>
  <r>
    <n v="23195"/>
    <x v="1"/>
    <x v="1"/>
    <n v="50000"/>
    <n v="3"/>
    <x v="0"/>
    <s v="Skilled Manual"/>
    <s v="Yes"/>
    <n v="2"/>
    <x v="1"/>
    <x v="2"/>
    <x v="3"/>
    <x v="0"/>
    <x v="1"/>
  </r>
  <r>
    <n v="21695"/>
    <x v="0"/>
    <x v="1"/>
    <n v="60000"/>
    <n v="0"/>
    <x v="4"/>
    <s v="Skilled Manual"/>
    <s v="Yes"/>
    <n v="0"/>
    <x v="3"/>
    <x v="2"/>
    <x v="32"/>
    <x v="0"/>
    <x v="1"/>
  </r>
  <r>
    <n v="13934"/>
    <x v="0"/>
    <x v="1"/>
    <n v="40000"/>
    <n v="4"/>
    <x v="2"/>
    <s v="Skilled Manual"/>
    <s v="Yes"/>
    <n v="2"/>
    <x v="1"/>
    <x v="2"/>
    <x v="30"/>
    <x v="0"/>
    <x v="0"/>
  </r>
  <r>
    <n v="13337"/>
    <x v="0"/>
    <x v="0"/>
    <n v="80000"/>
    <n v="5"/>
    <x v="0"/>
    <s v="Management"/>
    <s v="Yes"/>
    <n v="2"/>
    <x v="2"/>
    <x v="2"/>
    <x v="46"/>
    <x v="1"/>
    <x v="0"/>
  </r>
  <r>
    <n v="27190"/>
    <x v="0"/>
    <x v="0"/>
    <n v="40000"/>
    <n v="3"/>
    <x v="1"/>
    <s v="Clerical"/>
    <s v="Yes"/>
    <n v="1"/>
    <x v="3"/>
    <x v="2"/>
    <x v="21"/>
    <x v="0"/>
    <x v="0"/>
  </r>
  <r>
    <n v="28657"/>
    <x v="1"/>
    <x v="1"/>
    <n v="60000"/>
    <n v="2"/>
    <x v="0"/>
    <s v="Skilled Manual"/>
    <s v="Yes"/>
    <n v="0"/>
    <x v="1"/>
    <x v="2"/>
    <x v="4"/>
    <x v="0"/>
    <x v="1"/>
  </r>
  <r>
    <n v="21713"/>
    <x v="1"/>
    <x v="1"/>
    <n v="80000"/>
    <n v="5"/>
    <x v="4"/>
    <s v="Skilled Manual"/>
    <s v="No"/>
    <n v="0"/>
    <x v="0"/>
    <x v="2"/>
    <x v="15"/>
    <x v="0"/>
    <x v="0"/>
  </r>
  <r>
    <n v="21752"/>
    <x v="0"/>
    <x v="1"/>
    <n v="60000"/>
    <n v="3"/>
    <x v="4"/>
    <s v="Management"/>
    <s v="Yes"/>
    <n v="2"/>
    <x v="4"/>
    <x v="2"/>
    <x v="46"/>
    <x v="1"/>
    <x v="0"/>
  </r>
  <r>
    <n v="27273"/>
    <x v="1"/>
    <x v="1"/>
    <n v="70000"/>
    <n v="3"/>
    <x v="4"/>
    <s v="Professional"/>
    <s v="No"/>
    <n v="0"/>
    <x v="0"/>
    <x v="2"/>
    <x v="11"/>
    <x v="0"/>
    <x v="1"/>
  </r>
  <r>
    <n v="22719"/>
    <x v="1"/>
    <x v="1"/>
    <n v="110000"/>
    <n v="3"/>
    <x v="0"/>
    <s v="Management"/>
    <s v="Yes"/>
    <n v="4"/>
    <x v="1"/>
    <x v="2"/>
    <x v="8"/>
    <x v="0"/>
    <x v="1"/>
  </r>
  <r>
    <n v="22042"/>
    <x v="0"/>
    <x v="0"/>
    <n v="70000"/>
    <n v="0"/>
    <x v="1"/>
    <s v="Skilled Manual"/>
    <s v="Yes"/>
    <n v="2"/>
    <x v="2"/>
    <x v="2"/>
    <x v="17"/>
    <x v="0"/>
    <x v="1"/>
  </r>
  <r>
    <n v="21451"/>
    <x v="0"/>
    <x v="0"/>
    <n v="40000"/>
    <n v="4"/>
    <x v="2"/>
    <s v="Professional"/>
    <s v="Yes"/>
    <n v="2"/>
    <x v="4"/>
    <x v="2"/>
    <x v="33"/>
    <x v="1"/>
    <x v="0"/>
  </r>
  <r>
    <n v="20754"/>
    <x v="0"/>
    <x v="1"/>
    <n v="30000"/>
    <n v="2"/>
    <x v="2"/>
    <s v="Skilled Manual"/>
    <s v="Yes"/>
    <n v="2"/>
    <x v="3"/>
    <x v="2"/>
    <x v="36"/>
    <x v="1"/>
    <x v="0"/>
  </r>
  <r>
    <n v="12153"/>
    <x v="1"/>
    <x v="0"/>
    <n v="70000"/>
    <n v="3"/>
    <x v="1"/>
    <s v="Professional"/>
    <s v="Yes"/>
    <n v="1"/>
    <x v="2"/>
    <x v="2"/>
    <x v="38"/>
    <x v="0"/>
    <x v="1"/>
  </r>
  <r>
    <n v="16895"/>
    <x v="0"/>
    <x v="0"/>
    <n v="40000"/>
    <n v="3"/>
    <x v="1"/>
    <s v="Professional"/>
    <s v="No"/>
    <n v="2"/>
    <x v="3"/>
    <x v="2"/>
    <x v="9"/>
    <x v="1"/>
    <x v="1"/>
  </r>
  <r>
    <n v="26728"/>
    <x v="1"/>
    <x v="1"/>
    <n v="70000"/>
    <n v="3"/>
    <x v="4"/>
    <s v="Management"/>
    <s v="No"/>
    <n v="2"/>
    <x v="3"/>
    <x v="2"/>
    <x v="39"/>
    <x v="1"/>
    <x v="1"/>
  </r>
  <r>
    <n v="11090"/>
    <x v="1"/>
    <x v="1"/>
    <n v="90000"/>
    <n v="2"/>
    <x v="1"/>
    <s v="Professional"/>
    <s v="Yes"/>
    <n v="1"/>
    <x v="1"/>
    <x v="2"/>
    <x v="28"/>
    <x v="0"/>
    <x v="1"/>
  </r>
  <r>
    <n v="15862"/>
    <x v="1"/>
    <x v="0"/>
    <n v="50000"/>
    <n v="0"/>
    <x v="4"/>
    <s v="Skilled Manual"/>
    <s v="Yes"/>
    <n v="0"/>
    <x v="3"/>
    <x v="2"/>
    <x v="6"/>
    <x v="0"/>
    <x v="1"/>
  </r>
  <r>
    <n v="26495"/>
    <x v="1"/>
    <x v="0"/>
    <n v="40000"/>
    <n v="2"/>
    <x v="2"/>
    <s v="Professional"/>
    <s v="Yes"/>
    <n v="2"/>
    <x v="4"/>
    <x v="2"/>
    <x v="42"/>
    <x v="1"/>
    <x v="0"/>
  </r>
  <r>
    <n v="11823"/>
    <x v="0"/>
    <x v="0"/>
    <n v="70000"/>
    <n v="0"/>
    <x v="4"/>
    <s v="Professional"/>
    <s v="Yes"/>
    <n v="0"/>
    <x v="1"/>
    <x v="2"/>
    <x v="32"/>
    <x v="0"/>
    <x v="0"/>
  </r>
  <r>
    <n v="23449"/>
    <x v="0"/>
    <x v="1"/>
    <n v="60000"/>
    <n v="2"/>
    <x v="2"/>
    <s v="Professional"/>
    <s v="Yes"/>
    <n v="2"/>
    <x v="2"/>
    <x v="2"/>
    <x v="28"/>
    <x v="0"/>
    <x v="0"/>
  </r>
  <r>
    <n v="23459"/>
    <x v="0"/>
    <x v="1"/>
    <n v="60000"/>
    <n v="2"/>
    <x v="2"/>
    <s v="Professional"/>
    <s v="Yes"/>
    <n v="2"/>
    <x v="2"/>
    <x v="2"/>
    <x v="5"/>
    <x v="1"/>
    <x v="0"/>
  </r>
  <r>
    <n v="19543"/>
    <x v="0"/>
    <x v="1"/>
    <n v="70000"/>
    <n v="5"/>
    <x v="4"/>
    <s v="Professional"/>
    <s v="No"/>
    <n v="3"/>
    <x v="4"/>
    <x v="2"/>
    <x v="15"/>
    <x v="0"/>
    <x v="0"/>
  </r>
  <r>
    <n v="14914"/>
    <x v="0"/>
    <x v="0"/>
    <n v="40000"/>
    <n v="1"/>
    <x v="1"/>
    <s v="Clerical"/>
    <s v="Yes"/>
    <n v="1"/>
    <x v="3"/>
    <x v="2"/>
    <x v="38"/>
    <x v="0"/>
    <x v="1"/>
  </r>
  <r>
    <n v="12033"/>
    <x v="1"/>
    <x v="0"/>
    <n v="40000"/>
    <n v="0"/>
    <x v="2"/>
    <s v="Skilled Manual"/>
    <s v="No"/>
    <n v="2"/>
    <x v="0"/>
    <x v="2"/>
    <x v="40"/>
    <x v="0"/>
    <x v="1"/>
  </r>
  <r>
    <n v="11941"/>
    <x v="1"/>
    <x v="1"/>
    <n v="60000"/>
    <n v="0"/>
    <x v="1"/>
    <s v="Skilled Manual"/>
    <s v="Yes"/>
    <n v="0"/>
    <x v="2"/>
    <x v="2"/>
    <x v="19"/>
    <x v="0"/>
    <x v="0"/>
  </r>
  <r>
    <n v="14389"/>
    <x v="0"/>
    <x v="1"/>
    <n v="60000"/>
    <n v="2"/>
    <x v="0"/>
    <s v="Management"/>
    <s v="Yes"/>
    <n v="0"/>
    <x v="1"/>
    <x v="2"/>
    <x v="14"/>
    <x v="1"/>
    <x v="0"/>
  </r>
  <r>
    <n v="18050"/>
    <x v="0"/>
    <x v="0"/>
    <n v="60000"/>
    <n v="1"/>
    <x v="1"/>
    <s v="Skilled Manual"/>
    <s v="Yes"/>
    <n v="1"/>
    <x v="0"/>
    <x v="2"/>
    <x v="12"/>
    <x v="0"/>
    <x v="1"/>
  </r>
  <r>
    <n v="19856"/>
    <x v="0"/>
    <x v="0"/>
    <n v="60000"/>
    <n v="4"/>
    <x v="0"/>
    <s v="Management"/>
    <s v="Yes"/>
    <n v="2"/>
    <x v="1"/>
    <x v="2"/>
    <x v="2"/>
    <x v="1"/>
    <x v="0"/>
  </r>
  <r>
    <n v="11663"/>
    <x v="0"/>
    <x v="1"/>
    <n v="70000"/>
    <n v="4"/>
    <x v="4"/>
    <s v="Professional"/>
    <s v="Yes"/>
    <n v="0"/>
    <x v="0"/>
    <x v="2"/>
    <x v="4"/>
    <x v="0"/>
    <x v="1"/>
  </r>
  <r>
    <n v="27740"/>
    <x v="0"/>
    <x v="0"/>
    <n v="40000"/>
    <n v="0"/>
    <x v="2"/>
    <s v="Skilled Manual"/>
    <s v="Yes"/>
    <n v="2"/>
    <x v="2"/>
    <x v="2"/>
    <x v="40"/>
    <x v="0"/>
    <x v="0"/>
  </r>
  <r>
    <n v="23455"/>
    <x v="1"/>
    <x v="1"/>
    <n v="80000"/>
    <n v="2"/>
    <x v="3"/>
    <s v="Skilled Manual"/>
    <s v="No"/>
    <n v="2"/>
    <x v="3"/>
    <x v="2"/>
    <x v="5"/>
    <x v="1"/>
    <x v="0"/>
  </r>
  <r>
    <n v="15292"/>
    <x v="1"/>
    <x v="0"/>
    <n v="60000"/>
    <n v="1"/>
    <x v="4"/>
    <s v="Skilled Manual"/>
    <s v="Yes"/>
    <n v="0"/>
    <x v="3"/>
    <x v="2"/>
    <x v="11"/>
    <x v="0"/>
    <x v="0"/>
  </r>
  <r>
    <n v="21587"/>
    <x v="0"/>
    <x v="0"/>
    <n v="60000"/>
    <n v="1"/>
    <x v="4"/>
    <s v="Skilled Manual"/>
    <s v="Yes"/>
    <n v="0"/>
    <x v="1"/>
    <x v="2"/>
    <x v="17"/>
    <x v="0"/>
    <x v="1"/>
  </r>
  <r>
    <n v="23513"/>
    <x v="0"/>
    <x v="0"/>
    <n v="40000"/>
    <n v="3"/>
    <x v="1"/>
    <s v="Professional"/>
    <s v="Yes"/>
    <n v="2"/>
    <x v="2"/>
    <x v="2"/>
    <x v="9"/>
    <x v="1"/>
    <x v="0"/>
  </r>
  <r>
    <n v="24322"/>
    <x v="0"/>
    <x v="0"/>
    <n v="60000"/>
    <n v="4"/>
    <x v="0"/>
    <s v="Skilled Manual"/>
    <s v="No"/>
    <n v="2"/>
    <x v="0"/>
    <x v="2"/>
    <x v="0"/>
    <x v="0"/>
    <x v="0"/>
  </r>
  <r>
    <n v="26298"/>
    <x v="0"/>
    <x v="0"/>
    <n v="50000"/>
    <n v="1"/>
    <x v="0"/>
    <s v="Skilled Manual"/>
    <s v="Yes"/>
    <n v="0"/>
    <x v="1"/>
    <x v="2"/>
    <x v="17"/>
    <x v="0"/>
    <x v="1"/>
  </r>
  <r>
    <n v="25419"/>
    <x v="1"/>
    <x v="1"/>
    <n v="50000"/>
    <n v="2"/>
    <x v="0"/>
    <s v="Skilled Manual"/>
    <s v="No"/>
    <n v="1"/>
    <x v="0"/>
    <x v="2"/>
    <x v="13"/>
    <x v="0"/>
    <x v="1"/>
  </r>
  <r>
    <n v="13343"/>
    <x v="0"/>
    <x v="0"/>
    <n v="90000"/>
    <n v="5"/>
    <x v="0"/>
    <s v="Management"/>
    <s v="Yes"/>
    <n v="2"/>
    <x v="3"/>
    <x v="2"/>
    <x v="18"/>
    <x v="1"/>
    <x v="1"/>
  </r>
  <r>
    <n v="11303"/>
    <x v="1"/>
    <x v="0"/>
    <n v="90000"/>
    <n v="4"/>
    <x v="2"/>
    <s v="Professional"/>
    <s v="No"/>
    <n v="3"/>
    <x v="3"/>
    <x v="2"/>
    <x v="12"/>
    <x v="0"/>
    <x v="1"/>
  </r>
  <r>
    <n v="21693"/>
    <x v="1"/>
    <x v="0"/>
    <n v="60000"/>
    <n v="0"/>
    <x v="4"/>
    <s v="Skilled Manual"/>
    <s v="No"/>
    <n v="0"/>
    <x v="0"/>
    <x v="2"/>
    <x v="8"/>
    <x v="0"/>
    <x v="0"/>
  </r>
  <r>
    <n v="28056"/>
    <x v="0"/>
    <x v="1"/>
    <n v="70000"/>
    <n v="2"/>
    <x v="3"/>
    <s v="Skilled Manual"/>
    <s v="Yes"/>
    <n v="2"/>
    <x v="4"/>
    <x v="2"/>
    <x v="39"/>
    <x v="1"/>
    <x v="0"/>
  </r>
  <r>
    <n v="11788"/>
    <x v="1"/>
    <x v="0"/>
    <n v="70000"/>
    <n v="1"/>
    <x v="4"/>
    <s v="Professional"/>
    <s v="Yes"/>
    <n v="0"/>
    <x v="1"/>
    <x v="2"/>
    <x v="17"/>
    <x v="0"/>
    <x v="0"/>
  </r>
  <r>
    <n v="22296"/>
    <x v="0"/>
    <x v="1"/>
    <n v="70000"/>
    <n v="0"/>
    <x v="0"/>
    <s v="Professional"/>
    <s v="No"/>
    <n v="1"/>
    <x v="0"/>
    <x v="2"/>
    <x v="13"/>
    <x v="0"/>
    <x v="0"/>
  </r>
  <r>
    <n v="15319"/>
    <x v="0"/>
    <x v="0"/>
    <n v="70000"/>
    <n v="4"/>
    <x v="0"/>
    <s v="Management"/>
    <s v="No"/>
    <n v="1"/>
    <x v="3"/>
    <x v="2"/>
    <x v="14"/>
    <x v="1"/>
    <x v="0"/>
  </r>
  <r>
    <n v="17654"/>
    <x v="1"/>
    <x v="0"/>
    <n v="40000"/>
    <n v="3"/>
    <x v="1"/>
    <s v="Clerical"/>
    <s v="Yes"/>
    <n v="1"/>
    <x v="3"/>
    <x v="2"/>
    <x v="25"/>
    <x v="0"/>
    <x v="1"/>
  </r>
  <r>
    <n v="14662"/>
    <x v="0"/>
    <x v="1"/>
    <n v="60000"/>
    <n v="1"/>
    <x v="0"/>
    <s v="Professional"/>
    <s v="Yes"/>
    <n v="1"/>
    <x v="0"/>
    <x v="2"/>
    <x v="28"/>
    <x v="0"/>
    <x v="1"/>
  </r>
  <r>
    <n v="17541"/>
    <x v="0"/>
    <x v="0"/>
    <n v="40000"/>
    <n v="4"/>
    <x v="2"/>
    <s v="Skilled Manual"/>
    <s v="Yes"/>
    <n v="2"/>
    <x v="1"/>
    <x v="2"/>
    <x v="1"/>
    <x v="0"/>
    <x v="0"/>
  </r>
  <r>
    <n v="13886"/>
    <x v="0"/>
    <x v="0"/>
    <n v="70000"/>
    <n v="4"/>
    <x v="4"/>
    <s v="Professional"/>
    <s v="Yes"/>
    <n v="0"/>
    <x v="1"/>
    <x v="2"/>
    <x v="11"/>
    <x v="0"/>
    <x v="1"/>
  </r>
  <r>
    <n v="13073"/>
    <x v="0"/>
    <x v="0"/>
    <n v="60000"/>
    <n v="0"/>
    <x v="1"/>
    <s v="Professional"/>
    <s v="Yes"/>
    <n v="2"/>
    <x v="2"/>
    <x v="2"/>
    <x v="25"/>
    <x v="0"/>
    <x v="0"/>
  </r>
  <r>
    <n v="21940"/>
    <x v="0"/>
    <x v="1"/>
    <n v="90000"/>
    <n v="5"/>
    <x v="4"/>
    <s v="Professional"/>
    <s v="Yes"/>
    <n v="0"/>
    <x v="0"/>
    <x v="2"/>
    <x v="15"/>
    <x v="0"/>
    <x v="1"/>
  </r>
  <r>
    <n v="20196"/>
    <x v="0"/>
    <x v="1"/>
    <n v="60000"/>
    <n v="1"/>
    <x v="1"/>
    <s v="Skilled Manual"/>
    <s v="Yes"/>
    <n v="1"/>
    <x v="1"/>
    <x v="2"/>
    <x v="12"/>
    <x v="0"/>
    <x v="1"/>
  </r>
  <r>
    <n v="23491"/>
    <x v="1"/>
    <x v="1"/>
    <n v="100000"/>
    <n v="0"/>
    <x v="1"/>
    <s v="Professional"/>
    <s v="No"/>
    <n v="4"/>
    <x v="3"/>
    <x v="2"/>
    <x v="12"/>
    <x v="0"/>
    <x v="0"/>
  </r>
  <r>
    <n v="16651"/>
    <x v="0"/>
    <x v="0"/>
    <n v="120000"/>
    <n v="2"/>
    <x v="0"/>
    <s v="Management"/>
    <s v="Yes"/>
    <n v="3"/>
    <x v="2"/>
    <x v="2"/>
    <x v="24"/>
    <x v="1"/>
    <x v="0"/>
  </r>
  <r>
    <n v="16813"/>
    <x v="0"/>
    <x v="1"/>
    <n v="60000"/>
    <n v="2"/>
    <x v="1"/>
    <s v="Professional"/>
    <s v="Yes"/>
    <n v="2"/>
    <x v="4"/>
    <x v="2"/>
    <x v="10"/>
    <x v="1"/>
    <x v="0"/>
  </r>
  <r>
    <n v="16007"/>
    <x v="0"/>
    <x v="0"/>
    <n v="90000"/>
    <n v="5"/>
    <x v="0"/>
    <s v="Management"/>
    <s v="Yes"/>
    <n v="2"/>
    <x v="3"/>
    <x v="2"/>
    <x v="29"/>
    <x v="1"/>
    <x v="1"/>
  </r>
  <r>
    <n v="27434"/>
    <x v="1"/>
    <x v="1"/>
    <n v="70000"/>
    <n v="4"/>
    <x v="1"/>
    <s v="Professional"/>
    <s v="Yes"/>
    <n v="1"/>
    <x v="4"/>
    <x v="2"/>
    <x v="16"/>
    <x v="1"/>
    <x v="0"/>
  </r>
  <r>
    <n v="27756"/>
    <x v="1"/>
    <x v="0"/>
    <n v="50000"/>
    <n v="3"/>
    <x v="0"/>
    <s v="Skilled Manual"/>
    <s v="No"/>
    <n v="1"/>
    <x v="0"/>
    <x v="2"/>
    <x v="8"/>
    <x v="0"/>
    <x v="0"/>
  </r>
  <r>
    <n v="23818"/>
    <x v="0"/>
    <x v="0"/>
    <n v="50000"/>
    <n v="0"/>
    <x v="4"/>
    <s v="Skilled Manual"/>
    <s v="Yes"/>
    <n v="0"/>
    <x v="3"/>
    <x v="2"/>
    <x v="6"/>
    <x v="0"/>
    <x v="1"/>
  </r>
  <r>
    <n v="19012"/>
    <x v="0"/>
    <x v="1"/>
    <n v="80000"/>
    <n v="3"/>
    <x v="0"/>
    <s v="Management"/>
    <s v="Yes"/>
    <n v="1"/>
    <x v="3"/>
    <x v="2"/>
    <x v="16"/>
    <x v="1"/>
    <x v="0"/>
  </r>
  <r>
    <n v="18329"/>
    <x v="1"/>
    <x v="1"/>
    <n v="30000"/>
    <n v="0"/>
    <x v="3"/>
    <s v="Clerical"/>
    <s v="No"/>
    <n v="2"/>
    <x v="2"/>
    <x v="2"/>
    <x v="40"/>
    <x v="0"/>
    <x v="0"/>
  </r>
  <r>
    <n v="29037"/>
    <x v="0"/>
    <x v="1"/>
    <n v="60000"/>
    <n v="0"/>
    <x v="4"/>
    <s v="Professional"/>
    <s v="No"/>
    <n v="0"/>
    <x v="0"/>
    <x v="2"/>
    <x v="32"/>
    <x v="0"/>
    <x v="0"/>
  </r>
  <r>
    <n v="26576"/>
    <x v="0"/>
    <x v="0"/>
    <n v="60000"/>
    <n v="0"/>
    <x v="1"/>
    <s v="Skilled Manual"/>
    <s v="Yes"/>
    <n v="2"/>
    <x v="2"/>
    <x v="2"/>
    <x v="23"/>
    <x v="0"/>
    <x v="0"/>
  </r>
  <r>
    <n v="12192"/>
    <x v="1"/>
    <x v="0"/>
    <n v="60000"/>
    <n v="2"/>
    <x v="3"/>
    <s v="Skilled Manual"/>
    <s v="No"/>
    <n v="2"/>
    <x v="3"/>
    <x v="2"/>
    <x v="36"/>
    <x v="1"/>
    <x v="0"/>
  </r>
  <r>
    <n v="14887"/>
    <x v="0"/>
    <x v="0"/>
    <n v="30000"/>
    <n v="1"/>
    <x v="2"/>
    <s v="Clerical"/>
    <s v="Yes"/>
    <n v="1"/>
    <x v="2"/>
    <x v="2"/>
    <x v="31"/>
    <x v="1"/>
    <x v="0"/>
  </r>
  <r>
    <n v="11734"/>
    <x v="0"/>
    <x v="1"/>
    <n v="60000"/>
    <n v="1"/>
    <x v="1"/>
    <s v="Skilled Manual"/>
    <s v="No"/>
    <n v="1"/>
    <x v="0"/>
    <x v="2"/>
    <x v="15"/>
    <x v="0"/>
    <x v="0"/>
  </r>
  <r>
    <n v="17462"/>
    <x v="0"/>
    <x v="1"/>
    <n v="70000"/>
    <n v="3"/>
    <x v="4"/>
    <s v="Management"/>
    <s v="Yes"/>
    <n v="2"/>
    <x v="2"/>
    <x v="2"/>
    <x v="39"/>
    <x v="1"/>
    <x v="1"/>
  </r>
  <r>
    <n v="20659"/>
    <x v="0"/>
    <x v="1"/>
    <n v="70000"/>
    <n v="3"/>
    <x v="4"/>
    <s v="Professional"/>
    <s v="Yes"/>
    <n v="0"/>
    <x v="0"/>
    <x v="2"/>
    <x v="11"/>
    <x v="0"/>
    <x v="1"/>
  </r>
  <r>
    <n v="28004"/>
    <x v="0"/>
    <x v="0"/>
    <n v="60000"/>
    <n v="3"/>
    <x v="0"/>
    <s v="Management"/>
    <s v="Yes"/>
    <n v="2"/>
    <x v="4"/>
    <x v="2"/>
    <x v="29"/>
    <x v="1"/>
    <x v="0"/>
  </r>
  <r>
    <n v="19741"/>
    <x v="1"/>
    <x v="0"/>
    <n v="80000"/>
    <n v="4"/>
    <x v="4"/>
    <s v="Management"/>
    <s v="Yes"/>
    <n v="2"/>
    <x v="2"/>
    <x v="2"/>
    <x v="27"/>
    <x v="1"/>
    <x v="0"/>
  </r>
  <r>
    <n v="17450"/>
    <x v="0"/>
    <x v="1"/>
    <n v="80000"/>
    <n v="5"/>
    <x v="1"/>
    <s v="Professional"/>
    <s v="Yes"/>
    <n v="3"/>
    <x v="2"/>
    <x v="2"/>
    <x v="12"/>
    <x v="0"/>
    <x v="0"/>
  </r>
  <r>
    <n v="17337"/>
    <x v="1"/>
    <x v="1"/>
    <n v="40000"/>
    <n v="0"/>
    <x v="2"/>
    <s v="Skilled Manual"/>
    <s v="Yes"/>
    <n v="1"/>
    <x v="2"/>
    <x v="2"/>
    <x v="23"/>
    <x v="0"/>
    <x v="0"/>
  </r>
  <r>
    <n v="18594"/>
    <x v="1"/>
    <x v="0"/>
    <n v="80000"/>
    <n v="3"/>
    <x v="0"/>
    <s v="Skilled Manual"/>
    <s v="Yes"/>
    <n v="3"/>
    <x v="4"/>
    <x v="2"/>
    <x v="8"/>
    <x v="0"/>
    <x v="1"/>
  </r>
  <r>
    <n v="15982"/>
    <x v="0"/>
    <x v="1"/>
    <n v="110000"/>
    <n v="5"/>
    <x v="1"/>
    <s v="Professional"/>
    <s v="Yes"/>
    <n v="4"/>
    <x v="1"/>
    <x v="2"/>
    <x v="30"/>
    <x v="0"/>
    <x v="0"/>
  </r>
  <r>
    <n v="28625"/>
    <x v="1"/>
    <x v="1"/>
    <n v="40000"/>
    <n v="2"/>
    <x v="1"/>
    <s v="Clerical"/>
    <s v="No"/>
    <n v="1"/>
    <x v="3"/>
    <x v="2"/>
    <x v="15"/>
    <x v="0"/>
    <x v="1"/>
  </r>
  <r>
    <n v="11269"/>
    <x v="0"/>
    <x v="1"/>
    <n v="130000"/>
    <n v="2"/>
    <x v="4"/>
    <s v="Management"/>
    <s v="Yes"/>
    <n v="2"/>
    <x v="0"/>
    <x v="2"/>
    <x v="3"/>
    <x v="0"/>
    <x v="0"/>
  </r>
  <r>
    <n v="25148"/>
    <x v="0"/>
    <x v="1"/>
    <n v="60000"/>
    <n v="2"/>
    <x v="2"/>
    <s v="Professional"/>
    <s v="No"/>
    <n v="2"/>
    <x v="3"/>
    <x v="2"/>
    <x v="28"/>
    <x v="0"/>
    <x v="1"/>
  </r>
  <r>
    <n v="13920"/>
    <x v="1"/>
    <x v="0"/>
    <n v="50000"/>
    <n v="4"/>
    <x v="0"/>
    <s v="Skilled Manual"/>
    <s v="Yes"/>
    <n v="2"/>
    <x v="0"/>
    <x v="2"/>
    <x v="0"/>
    <x v="0"/>
    <x v="0"/>
  </r>
  <r>
    <n v="23704"/>
    <x v="1"/>
    <x v="1"/>
    <n v="40000"/>
    <n v="5"/>
    <x v="2"/>
    <s v="Professional"/>
    <s v="Yes"/>
    <n v="4"/>
    <x v="4"/>
    <x v="2"/>
    <x v="2"/>
    <x v="1"/>
    <x v="1"/>
  </r>
  <r>
    <n v="28972"/>
    <x v="1"/>
    <x v="0"/>
    <n v="60000"/>
    <n v="3"/>
    <x v="4"/>
    <s v="Management"/>
    <s v="Yes"/>
    <n v="2"/>
    <x v="4"/>
    <x v="2"/>
    <x v="29"/>
    <x v="1"/>
    <x v="0"/>
  </r>
  <r>
    <n v="22730"/>
    <x v="0"/>
    <x v="1"/>
    <n v="70000"/>
    <n v="5"/>
    <x v="0"/>
    <s v="Management"/>
    <s v="Yes"/>
    <n v="2"/>
    <x v="4"/>
    <x v="2"/>
    <x v="18"/>
    <x v="1"/>
    <x v="0"/>
  </r>
  <r>
    <n v="29134"/>
    <x v="0"/>
    <x v="1"/>
    <n v="60000"/>
    <n v="4"/>
    <x v="0"/>
    <s v="Skilled Manual"/>
    <s v="No"/>
    <n v="3"/>
    <x v="4"/>
    <x v="2"/>
    <x v="0"/>
    <x v="0"/>
    <x v="0"/>
  </r>
  <r>
    <n v="14332"/>
    <x v="1"/>
    <x v="0"/>
    <n v="30000"/>
    <n v="0"/>
    <x v="2"/>
    <s v="Skilled Manual"/>
    <s v="No"/>
    <n v="2"/>
    <x v="2"/>
    <x v="2"/>
    <x v="22"/>
    <x v="0"/>
    <x v="0"/>
  </r>
  <r>
    <n v="19117"/>
    <x v="1"/>
    <x v="0"/>
    <n v="60000"/>
    <n v="1"/>
    <x v="4"/>
    <s v="Professional"/>
    <s v="Yes"/>
    <n v="0"/>
    <x v="1"/>
    <x v="2"/>
    <x v="4"/>
    <x v="0"/>
    <x v="1"/>
  </r>
  <r>
    <n v="22864"/>
    <x v="0"/>
    <x v="1"/>
    <n v="90000"/>
    <n v="2"/>
    <x v="1"/>
    <s v="Professional"/>
    <s v="No"/>
    <n v="0"/>
    <x v="2"/>
    <x v="2"/>
    <x v="38"/>
    <x v="0"/>
    <x v="1"/>
  </r>
  <r>
    <n v="11292"/>
    <x v="1"/>
    <x v="1"/>
    <n v="150000"/>
    <n v="1"/>
    <x v="1"/>
    <s v="Professional"/>
    <s v="No"/>
    <n v="3"/>
    <x v="0"/>
    <x v="2"/>
    <x v="20"/>
    <x v="0"/>
    <x v="1"/>
  </r>
  <r>
    <n v="13466"/>
    <x v="0"/>
    <x v="1"/>
    <n v="80000"/>
    <n v="5"/>
    <x v="1"/>
    <s v="Professional"/>
    <s v="Yes"/>
    <n v="3"/>
    <x v="3"/>
    <x v="2"/>
    <x v="30"/>
    <x v="0"/>
    <x v="0"/>
  </r>
  <r>
    <n v="23731"/>
    <x v="0"/>
    <x v="1"/>
    <n v="60000"/>
    <n v="2"/>
    <x v="2"/>
    <s v="Professional"/>
    <s v="Yes"/>
    <n v="2"/>
    <x v="1"/>
    <x v="2"/>
    <x v="9"/>
    <x v="1"/>
    <x v="1"/>
  </r>
  <r>
    <n v="28672"/>
    <x v="1"/>
    <x v="1"/>
    <n v="70000"/>
    <n v="4"/>
    <x v="4"/>
    <s v="Professional"/>
    <s v="Yes"/>
    <n v="0"/>
    <x v="1"/>
    <x v="2"/>
    <x v="11"/>
    <x v="0"/>
    <x v="1"/>
  </r>
  <r>
    <n v="11809"/>
    <x v="0"/>
    <x v="1"/>
    <n v="60000"/>
    <n v="2"/>
    <x v="0"/>
    <s v="Skilled Manual"/>
    <s v="Yes"/>
    <n v="0"/>
    <x v="0"/>
    <x v="2"/>
    <x v="13"/>
    <x v="0"/>
    <x v="1"/>
  </r>
  <r>
    <n v="19664"/>
    <x v="1"/>
    <x v="1"/>
    <n v="100000"/>
    <n v="3"/>
    <x v="0"/>
    <s v="Management"/>
    <s v="No"/>
    <n v="3"/>
    <x v="3"/>
    <x v="2"/>
    <x v="13"/>
    <x v="0"/>
    <x v="0"/>
  </r>
  <r>
    <n v="12121"/>
    <x v="1"/>
    <x v="1"/>
    <n v="60000"/>
    <n v="3"/>
    <x v="2"/>
    <s v="Professional"/>
    <s v="Yes"/>
    <n v="2"/>
    <x v="4"/>
    <x v="2"/>
    <x v="39"/>
    <x v="1"/>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E4580E3-FDBF-43B1-BD37-68D5BF71E4F0}" name="PivotTable3" cacheId="18"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
  <location ref="A10:D14"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axis="axisRow" showAll="0">
      <items count="3">
        <item x="1"/>
        <item x="0"/>
        <item t="default"/>
      </items>
    </pivotField>
    <pivotField axis="axisCol" dataField="1" showAll="0">
      <items count="3">
        <item x="0"/>
        <item x="1"/>
        <item t="default"/>
      </items>
    </pivotField>
  </pivotFields>
  <rowFields count="1">
    <field x="12"/>
  </rowFields>
  <rowItems count="3">
    <i>
      <x/>
    </i>
    <i>
      <x v="1"/>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924C8A0-5AA0-4AF9-AEF7-EAF3F46E05EA}" name="PivotTable2"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21:D28" firstHeaderRow="1" firstDataRow="2" firstDataCol="1"/>
  <pivotFields count="14">
    <pivotField showAll="0"/>
    <pivotField showAll="0">
      <items count="3">
        <item x="0"/>
        <item x="1"/>
        <item t="default"/>
      </items>
    </pivotField>
    <pivotField showAll="0"/>
    <pivotField numFmtId="1" showAll="0"/>
    <pivotField showAll="0"/>
    <pivotField showAll="0">
      <items count="6">
        <item x="0"/>
        <item x="4"/>
        <item x="2"/>
        <item x="1"/>
        <item x="3"/>
        <item t="default"/>
      </items>
    </pivotField>
    <pivotField showAll="0"/>
    <pivotField showAll="0"/>
    <pivotField showAll="0"/>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E11D22-094C-43D6-8B27-1C8101001DBB}" name="PivotTable1" cacheId="18"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D7" firstHeaderRow="1" firstDataRow="2" firstDataCol="1"/>
  <pivotFields count="14">
    <pivotField showAll="0"/>
    <pivotField showAll="0">
      <items count="3">
        <item x="0"/>
        <item x="1"/>
        <item t="default"/>
      </items>
    </pivotField>
    <pivotField axis="axisRow" showAll="0">
      <items count="3">
        <item x="0"/>
        <item x="1"/>
        <item t="default"/>
      </items>
    </pivotField>
    <pivotField dataField="1" numFmtId="1" showAll="0"/>
    <pivotField showAll="0"/>
    <pivotField showAll="0">
      <items count="6">
        <item x="0"/>
        <item x="4"/>
        <item x="2"/>
        <item x="1"/>
        <item x="3"/>
        <item t="default"/>
      </items>
    </pivotField>
    <pivotField showAll="0"/>
    <pivotField showAll="0"/>
    <pivotField showAll="0"/>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7"/>
  </dataFields>
  <formats count="1">
    <format dxfId="25">
      <pivotArea outline="0" collapsedLevelsAreSubtotals="1" fieldPosition="0"/>
    </format>
  </format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2" format="4" series="1">
      <pivotArea type="data" outline="0" fieldPosition="0">
        <references count="2">
          <reference field="4294967294" count="1" selected="0">
            <x v="0"/>
          </reference>
          <reference field="13" count="1" selected="0">
            <x v="0"/>
          </reference>
        </references>
      </pivotArea>
    </chartFormat>
    <chartFormat chart="2"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547240AA-0601-4A01-BCAF-3CC2FFAE52C8}" sourceName="Marital Status">
  <pivotTables>
    <pivotTable tabId="3" name="PivotTable1"/>
    <pivotTable tabId="3" name="PivotTable2"/>
    <pivotTable tabId="3" name="PivotTable3"/>
  </pivotTables>
  <data>
    <tabular pivotCacheId="444737971">
      <items count="2">
        <i x="0" s="1"/>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4DA314FB-526A-470A-AEC3-948CC301FEA7}" sourceName="Education">
  <pivotTables>
    <pivotTable tabId="3" name="PivotTable1"/>
    <pivotTable tabId="3" name="PivotTable2"/>
    <pivotTable tabId="3" name="PivotTable3"/>
  </pivotTables>
  <data>
    <tabular pivotCacheId="444737971">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C52AD68E-B5DF-4034-A7B5-E8734560E3B0}" sourceName="Region">
  <pivotTables>
    <pivotTable tabId="3" name="PivotTable1"/>
    <pivotTable tabId="3" name="PivotTable2"/>
    <pivotTable tabId="3" name="PivotTable3"/>
  </pivotTables>
  <data>
    <tabular pivotCacheId="444737971">
      <items count="3">
        <i x="0" s="1"/>
        <i x="2"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A808312F-D686-4A8C-B671-BAA08D5F56FE}" cache="Slicer_Marital_Status" caption="Marital Status" rowHeight="234950"/>
  <slicer name="Education" xr10:uid="{9BAEB44A-3ED6-414F-A5F3-955B423CD0F9}" cache="Slicer_Education" caption="Education" rowHeight="234950"/>
  <slicer name="Region" xr10:uid="{28093476-52FD-4A78-A157-6C47963FCDB6}" cache="Slicer_Region" caption="Region"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4"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N5" sqref="N5"/>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7A3C-793B-4BC1-B947-A52132BD5F04}">
  <dimension ref="A1:N1001"/>
  <sheetViews>
    <sheetView topLeftCell="B901" workbookViewId="0">
      <selection activeCell="M906" sqref="M906"/>
    </sheetView>
  </sheetViews>
  <sheetFormatPr defaultColWidth="11.88671875" defaultRowHeight="14.4" x14ac:dyDescent="0.3"/>
  <cols>
    <col min="4" max="4" width="11.88671875" style="3"/>
    <col min="10" max="10" width="18.77734375" bestFit="1"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cm="1">
        <f t="array" ref="M2">_xlfn.IFS(L2&gt;49,"Old",L2&lt;18,"Kid",AND(L2&gt;=18,L2&lt;=50),"Young")</f>
        <v>Young</v>
      </c>
      <c r="N2" t="s">
        <v>18</v>
      </c>
    </row>
    <row r="3" spans="1:14" x14ac:dyDescent="0.3">
      <c r="A3">
        <v>24107</v>
      </c>
      <c r="B3" t="s">
        <v>36</v>
      </c>
      <c r="C3" t="s">
        <v>39</v>
      </c>
      <c r="D3" s="3">
        <v>30000</v>
      </c>
      <c r="E3">
        <v>3</v>
      </c>
      <c r="F3" t="s">
        <v>19</v>
      </c>
      <c r="G3" t="s">
        <v>20</v>
      </c>
      <c r="H3" t="s">
        <v>15</v>
      </c>
      <c r="I3">
        <v>1</v>
      </c>
      <c r="J3" t="s">
        <v>16</v>
      </c>
      <c r="K3" t="s">
        <v>17</v>
      </c>
      <c r="L3">
        <v>43</v>
      </c>
      <c r="M3" t="str" cm="1">
        <f t="array" ref="M3">_xlfn.IFS(L3&gt;49,"Old",L3&lt;18,"Kid",AND(L3&gt;=18,L3&lt;=50),"Young")</f>
        <v>Young</v>
      </c>
      <c r="N3" t="s">
        <v>18</v>
      </c>
    </row>
    <row r="4" spans="1:14" x14ac:dyDescent="0.3">
      <c r="A4">
        <v>14177</v>
      </c>
      <c r="B4" t="s">
        <v>36</v>
      </c>
      <c r="C4" t="s">
        <v>39</v>
      </c>
      <c r="D4" s="3">
        <v>80000</v>
      </c>
      <c r="E4">
        <v>5</v>
      </c>
      <c r="F4" t="s">
        <v>19</v>
      </c>
      <c r="G4" t="s">
        <v>21</v>
      </c>
      <c r="H4" t="s">
        <v>18</v>
      </c>
      <c r="I4">
        <v>2</v>
      </c>
      <c r="J4" t="s">
        <v>22</v>
      </c>
      <c r="K4" t="s">
        <v>17</v>
      </c>
      <c r="L4">
        <v>60</v>
      </c>
      <c r="M4" t="str" cm="1">
        <f t="array" ref="M4">_xlfn.IFS(L4&gt;49,"Old",L4&lt;18,"Kid",AND(L4&gt;=18,L4&lt;=50),"Young")</f>
        <v>Old</v>
      </c>
      <c r="N4" t="s">
        <v>18</v>
      </c>
    </row>
    <row r="5" spans="1:14" x14ac:dyDescent="0.3">
      <c r="A5">
        <v>24381</v>
      </c>
      <c r="B5" t="s">
        <v>37</v>
      </c>
      <c r="C5" t="s">
        <v>39</v>
      </c>
      <c r="D5" s="3">
        <v>70000</v>
      </c>
      <c r="E5">
        <v>0</v>
      </c>
      <c r="F5" t="s">
        <v>13</v>
      </c>
      <c r="G5" t="s">
        <v>21</v>
      </c>
      <c r="H5" t="s">
        <v>15</v>
      </c>
      <c r="I5">
        <v>1</v>
      </c>
      <c r="J5" t="s">
        <v>23</v>
      </c>
      <c r="K5" t="s">
        <v>24</v>
      </c>
      <c r="L5">
        <v>41</v>
      </c>
      <c r="M5" t="str" cm="1">
        <f t="array" ref="M5">_xlfn.IFS(L5&gt;49,"Old",L5&lt;18,"Kid",AND(L5&gt;=18,L5&lt;=50),"Young")</f>
        <v>Young</v>
      </c>
      <c r="N5" t="s">
        <v>15</v>
      </c>
    </row>
    <row r="6" spans="1:14" x14ac:dyDescent="0.3">
      <c r="A6">
        <v>25597</v>
      </c>
      <c r="B6" t="s">
        <v>37</v>
      </c>
      <c r="C6" t="s">
        <v>39</v>
      </c>
      <c r="D6" s="3">
        <v>30000</v>
      </c>
      <c r="E6">
        <v>0</v>
      </c>
      <c r="F6" t="s">
        <v>13</v>
      </c>
      <c r="G6" t="s">
        <v>20</v>
      </c>
      <c r="H6" t="s">
        <v>18</v>
      </c>
      <c r="I6">
        <v>0</v>
      </c>
      <c r="J6" t="s">
        <v>16</v>
      </c>
      <c r="K6" t="s">
        <v>17</v>
      </c>
      <c r="L6">
        <v>36</v>
      </c>
      <c r="M6" t="str" cm="1">
        <f t="array" ref="M6">_xlfn.IFS(L6&gt;49,"Old",L6&lt;18,"Kid",AND(L6&gt;=18,L6&lt;=50),"Young")</f>
        <v>Young</v>
      </c>
      <c r="N6" t="s">
        <v>15</v>
      </c>
    </row>
    <row r="7" spans="1:14" x14ac:dyDescent="0.3">
      <c r="A7">
        <v>13507</v>
      </c>
      <c r="B7" t="s">
        <v>36</v>
      </c>
      <c r="C7" t="s">
        <v>38</v>
      </c>
      <c r="D7" s="3">
        <v>10000</v>
      </c>
      <c r="E7">
        <v>2</v>
      </c>
      <c r="F7" t="s">
        <v>19</v>
      </c>
      <c r="G7" t="s">
        <v>25</v>
      </c>
      <c r="H7" t="s">
        <v>15</v>
      </c>
      <c r="I7">
        <v>0</v>
      </c>
      <c r="J7" t="s">
        <v>26</v>
      </c>
      <c r="K7" t="s">
        <v>17</v>
      </c>
      <c r="L7">
        <v>50</v>
      </c>
      <c r="M7" t="str" cm="1">
        <f t="array" ref="M7">_xlfn.IFS(L7&gt;49,"Old",L7&lt;18,"Kid",AND(L7&gt;=18,L7&lt;=50),"Young")</f>
        <v>Old</v>
      </c>
      <c r="N7" t="s">
        <v>18</v>
      </c>
    </row>
    <row r="8" spans="1:14" x14ac:dyDescent="0.3">
      <c r="A8">
        <v>27974</v>
      </c>
      <c r="B8" t="s">
        <v>37</v>
      </c>
      <c r="C8" t="s">
        <v>39</v>
      </c>
      <c r="D8" s="3">
        <v>160000</v>
      </c>
      <c r="E8">
        <v>2</v>
      </c>
      <c r="F8" t="s">
        <v>27</v>
      </c>
      <c r="G8" t="s">
        <v>28</v>
      </c>
      <c r="H8" t="s">
        <v>15</v>
      </c>
      <c r="I8">
        <v>4</v>
      </c>
      <c r="J8" t="s">
        <v>16</v>
      </c>
      <c r="K8" t="s">
        <v>24</v>
      </c>
      <c r="L8">
        <v>33</v>
      </c>
      <c r="M8" t="str" cm="1">
        <f t="array" ref="M8">_xlfn.IFS(L8&gt;49,"Old",L8&lt;18,"Kid",AND(L8&gt;=18,L8&lt;=50),"Young")</f>
        <v>Young</v>
      </c>
      <c r="N8" t="s">
        <v>15</v>
      </c>
    </row>
    <row r="9" spans="1:14" x14ac:dyDescent="0.3">
      <c r="A9">
        <v>19364</v>
      </c>
      <c r="B9" t="s">
        <v>36</v>
      </c>
      <c r="C9" t="s">
        <v>39</v>
      </c>
      <c r="D9" s="3">
        <v>40000</v>
      </c>
      <c r="E9">
        <v>1</v>
      </c>
      <c r="F9" t="s">
        <v>13</v>
      </c>
      <c r="G9" t="s">
        <v>14</v>
      </c>
      <c r="H9" t="s">
        <v>15</v>
      </c>
      <c r="I9">
        <v>0</v>
      </c>
      <c r="J9" t="s">
        <v>16</v>
      </c>
      <c r="K9" t="s">
        <v>17</v>
      </c>
      <c r="L9">
        <v>43</v>
      </c>
      <c r="M9" t="str" cm="1">
        <f t="array" ref="M9">_xlfn.IFS(L9&gt;49,"Old",L9&lt;18,"Kid",AND(L9&gt;=18,L9&lt;=50),"Young")</f>
        <v>Young</v>
      </c>
      <c r="N9" t="s">
        <v>15</v>
      </c>
    </row>
    <row r="10" spans="1:14" x14ac:dyDescent="0.3">
      <c r="A10">
        <v>22155</v>
      </c>
      <c r="B10" t="s">
        <v>36</v>
      </c>
      <c r="C10" t="s">
        <v>39</v>
      </c>
      <c r="D10" s="3">
        <v>20000</v>
      </c>
      <c r="E10">
        <v>2</v>
      </c>
      <c r="F10" t="s">
        <v>29</v>
      </c>
      <c r="G10" t="s">
        <v>20</v>
      </c>
      <c r="H10" t="s">
        <v>15</v>
      </c>
      <c r="I10">
        <v>2</v>
      </c>
      <c r="J10" t="s">
        <v>23</v>
      </c>
      <c r="K10" t="s">
        <v>24</v>
      </c>
      <c r="L10">
        <v>58</v>
      </c>
      <c r="M10" t="str" cm="1">
        <f t="array" ref="M10">_xlfn.IFS(L10&gt;49,"Old",L10&lt;18,"Kid",AND(L10&gt;=18,L10&lt;=50),"Young")</f>
        <v>Old</v>
      </c>
      <c r="N10" t="s">
        <v>18</v>
      </c>
    </row>
    <row r="11" spans="1:14" x14ac:dyDescent="0.3">
      <c r="A11">
        <v>19280</v>
      </c>
      <c r="B11" t="s">
        <v>36</v>
      </c>
      <c r="C11" t="s">
        <v>39</v>
      </c>
      <c r="D11" s="3">
        <v>120000</v>
      </c>
      <c r="E11">
        <v>2</v>
      </c>
      <c r="F11" t="s">
        <v>19</v>
      </c>
      <c r="G11" t="s">
        <v>25</v>
      </c>
      <c r="H11" t="s">
        <v>15</v>
      </c>
      <c r="I11">
        <v>1</v>
      </c>
      <c r="J11" t="s">
        <v>16</v>
      </c>
      <c r="K11" t="s">
        <v>17</v>
      </c>
      <c r="L11">
        <v>40</v>
      </c>
      <c r="M11" t="str" cm="1">
        <f t="array" ref="M11">_xlfn.IFS(L11&gt;49,"Old",L11&lt;18,"Kid",AND(L11&gt;=18,L11&lt;=50),"Young")</f>
        <v>Young</v>
      </c>
      <c r="N11" t="s">
        <v>15</v>
      </c>
    </row>
    <row r="12" spans="1:14" x14ac:dyDescent="0.3">
      <c r="A12">
        <v>22173</v>
      </c>
      <c r="B12" t="s">
        <v>36</v>
      </c>
      <c r="C12" t="s">
        <v>38</v>
      </c>
      <c r="D12" s="3">
        <v>30000</v>
      </c>
      <c r="E12">
        <v>3</v>
      </c>
      <c r="F12" t="s">
        <v>27</v>
      </c>
      <c r="G12" t="s">
        <v>14</v>
      </c>
      <c r="H12" t="s">
        <v>18</v>
      </c>
      <c r="I12">
        <v>2</v>
      </c>
      <c r="J12" t="s">
        <v>26</v>
      </c>
      <c r="K12" t="s">
        <v>24</v>
      </c>
      <c r="L12">
        <v>54</v>
      </c>
      <c r="M12" t="str" cm="1">
        <f t="array" ref="M12">_xlfn.IFS(L12&gt;49,"Old",L12&lt;18,"Kid",AND(L12&gt;=18,L12&lt;=50),"Young")</f>
        <v>Old</v>
      </c>
      <c r="N12" t="s">
        <v>15</v>
      </c>
    </row>
    <row r="13" spans="1:14" x14ac:dyDescent="0.3">
      <c r="A13">
        <v>12697</v>
      </c>
      <c r="B13" t="s">
        <v>37</v>
      </c>
      <c r="C13" t="s">
        <v>38</v>
      </c>
      <c r="D13" s="3">
        <v>90000</v>
      </c>
      <c r="E13">
        <v>0</v>
      </c>
      <c r="F13" t="s">
        <v>13</v>
      </c>
      <c r="G13" t="s">
        <v>21</v>
      </c>
      <c r="H13" t="s">
        <v>18</v>
      </c>
      <c r="I13">
        <v>4</v>
      </c>
      <c r="J13" t="s">
        <v>46</v>
      </c>
      <c r="K13" t="s">
        <v>24</v>
      </c>
      <c r="L13">
        <v>36</v>
      </c>
      <c r="M13" t="str" cm="1">
        <f t="array" ref="M13">_xlfn.IFS(L13&gt;49,"Old",L13&lt;18,"Kid",AND(L13&gt;=18,L13&lt;=50),"Young")</f>
        <v>Young</v>
      </c>
      <c r="N13" t="s">
        <v>18</v>
      </c>
    </row>
    <row r="14" spans="1:14" x14ac:dyDescent="0.3">
      <c r="A14">
        <v>11434</v>
      </c>
      <c r="B14" t="s">
        <v>36</v>
      </c>
      <c r="C14" t="s">
        <v>39</v>
      </c>
      <c r="D14" s="3">
        <v>170000</v>
      </c>
      <c r="E14">
        <v>5</v>
      </c>
      <c r="F14" t="s">
        <v>19</v>
      </c>
      <c r="G14" t="s">
        <v>21</v>
      </c>
      <c r="H14" t="s">
        <v>15</v>
      </c>
      <c r="I14">
        <v>0</v>
      </c>
      <c r="J14" t="s">
        <v>16</v>
      </c>
      <c r="K14" t="s">
        <v>17</v>
      </c>
      <c r="L14">
        <v>55</v>
      </c>
      <c r="M14" t="str" cm="1">
        <f t="array" ref="M14">_xlfn.IFS(L14&gt;49,"Old",L14&lt;18,"Kid",AND(L14&gt;=18,L14&lt;=50),"Young")</f>
        <v>Old</v>
      </c>
      <c r="N14" t="s">
        <v>18</v>
      </c>
    </row>
    <row r="15" spans="1:14" x14ac:dyDescent="0.3">
      <c r="A15">
        <v>25323</v>
      </c>
      <c r="B15" t="s">
        <v>36</v>
      </c>
      <c r="C15" t="s">
        <v>39</v>
      </c>
      <c r="D15" s="3">
        <v>40000</v>
      </c>
      <c r="E15">
        <v>2</v>
      </c>
      <c r="F15" t="s">
        <v>19</v>
      </c>
      <c r="G15" t="s">
        <v>20</v>
      </c>
      <c r="H15" t="s">
        <v>15</v>
      </c>
      <c r="I15">
        <v>1</v>
      </c>
      <c r="J15" t="s">
        <v>26</v>
      </c>
      <c r="K15" t="s">
        <v>17</v>
      </c>
      <c r="L15">
        <v>35</v>
      </c>
      <c r="M15" t="str" cm="1">
        <f t="array" ref="M15">_xlfn.IFS(L15&gt;49,"Old",L15&lt;18,"Kid",AND(L15&gt;=18,L15&lt;=50),"Young")</f>
        <v>Young</v>
      </c>
      <c r="N15" t="s">
        <v>15</v>
      </c>
    </row>
    <row r="16" spans="1:14" x14ac:dyDescent="0.3">
      <c r="A16">
        <v>23542</v>
      </c>
      <c r="B16" t="s">
        <v>37</v>
      </c>
      <c r="C16" t="s">
        <v>39</v>
      </c>
      <c r="D16" s="3">
        <v>60000</v>
      </c>
      <c r="E16">
        <v>1</v>
      </c>
      <c r="F16" t="s">
        <v>19</v>
      </c>
      <c r="G16" t="s">
        <v>14</v>
      </c>
      <c r="H16" t="s">
        <v>18</v>
      </c>
      <c r="I16">
        <v>1</v>
      </c>
      <c r="J16" t="s">
        <v>16</v>
      </c>
      <c r="K16" t="s">
        <v>24</v>
      </c>
      <c r="L16">
        <v>45</v>
      </c>
      <c r="M16" t="str" cm="1">
        <f t="array" ref="M16">_xlfn.IFS(L16&gt;49,"Old",L16&lt;18,"Kid",AND(L16&gt;=18,L16&lt;=50),"Young")</f>
        <v>Young</v>
      </c>
      <c r="N16" t="s">
        <v>15</v>
      </c>
    </row>
    <row r="17" spans="1:14" x14ac:dyDescent="0.3">
      <c r="A17">
        <v>20870</v>
      </c>
      <c r="B17" t="s">
        <v>37</v>
      </c>
      <c r="C17" t="s">
        <v>38</v>
      </c>
      <c r="D17" s="3">
        <v>10000</v>
      </c>
      <c r="E17">
        <v>2</v>
      </c>
      <c r="F17" t="s">
        <v>27</v>
      </c>
      <c r="G17" t="s">
        <v>25</v>
      </c>
      <c r="H17" t="s">
        <v>15</v>
      </c>
      <c r="I17">
        <v>1</v>
      </c>
      <c r="J17" t="s">
        <v>16</v>
      </c>
      <c r="K17" t="s">
        <v>17</v>
      </c>
      <c r="L17">
        <v>38</v>
      </c>
      <c r="M17" t="str" cm="1">
        <f t="array" ref="M17">_xlfn.IFS(L17&gt;49,"Old",L17&lt;18,"Kid",AND(L17&gt;=18,L17&lt;=50),"Young")</f>
        <v>Young</v>
      </c>
      <c r="N17" t="s">
        <v>15</v>
      </c>
    </row>
    <row r="18" spans="1:14" x14ac:dyDescent="0.3">
      <c r="A18">
        <v>23316</v>
      </c>
      <c r="B18" t="s">
        <v>37</v>
      </c>
      <c r="C18" t="s">
        <v>39</v>
      </c>
      <c r="D18" s="3">
        <v>30000</v>
      </c>
      <c r="E18">
        <v>3</v>
      </c>
      <c r="F18" t="s">
        <v>19</v>
      </c>
      <c r="G18" t="s">
        <v>20</v>
      </c>
      <c r="H18" t="s">
        <v>18</v>
      </c>
      <c r="I18">
        <v>2</v>
      </c>
      <c r="J18" t="s">
        <v>26</v>
      </c>
      <c r="K18" t="s">
        <v>24</v>
      </c>
      <c r="L18">
        <v>59</v>
      </c>
      <c r="M18" t="str" cm="1">
        <f t="array" ref="M18">_xlfn.IFS(L18&gt;49,"Old",L18&lt;18,"Kid",AND(L18&gt;=18,L18&lt;=50),"Young")</f>
        <v>Old</v>
      </c>
      <c r="N18" t="s">
        <v>15</v>
      </c>
    </row>
    <row r="19" spans="1:14" x14ac:dyDescent="0.3">
      <c r="A19">
        <v>12610</v>
      </c>
      <c r="B19" t="s">
        <v>36</v>
      </c>
      <c r="C19" t="s">
        <v>38</v>
      </c>
      <c r="D19" s="3">
        <v>30000</v>
      </c>
      <c r="E19">
        <v>1</v>
      </c>
      <c r="F19" t="s">
        <v>13</v>
      </c>
      <c r="G19" t="s">
        <v>20</v>
      </c>
      <c r="H19" t="s">
        <v>15</v>
      </c>
      <c r="I19">
        <v>0</v>
      </c>
      <c r="J19" t="s">
        <v>16</v>
      </c>
      <c r="K19" t="s">
        <v>17</v>
      </c>
      <c r="L19">
        <v>47</v>
      </c>
      <c r="M19" t="str" cm="1">
        <f t="array" ref="M19">_xlfn.IFS(L19&gt;49,"Old",L19&lt;18,"Kid",AND(L19&gt;=18,L19&lt;=50),"Young")</f>
        <v>Young</v>
      </c>
      <c r="N19" t="s">
        <v>18</v>
      </c>
    </row>
    <row r="20" spans="1:14" x14ac:dyDescent="0.3">
      <c r="A20">
        <v>27183</v>
      </c>
      <c r="B20" t="s">
        <v>37</v>
      </c>
      <c r="C20" t="s">
        <v>39</v>
      </c>
      <c r="D20" s="3">
        <v>40000</v>
      </c>
      <c r="E20">
        <v>2</v>
      </c>
      <c r="F20" t="s">
        <v>19</v>
      </c>
      <c r="G20" t="s">
        <v>20</v>
      </c>
      <c r="H20" t="s">
        <v>15</v>
      </c>
      <c r="I20">
        <v>1</v>
      </c>
      <c r="J20" t="s">
        <v>26</v>
      </c>
      <c r="K20" t="s">
        <v>17</v>
      </c>
      <c r="L20">
        <v>35</v>
      </c>
      <c r="M20" t="str" cm="1">
        <f t="array" ref="M20">_xlfn.IFS(L20&gt;49,"Old",L20&lt;18,"Kid",AND(L20&gt;=18,L20&lt;=50),"Young")</f>
        <v>Young</v>
      </c>
      <c r="N20" t="s">
        <v>15</v>
      </c>
    </row>
    <row r="21" spans="1:14" x14ac:dyDescent="0.3">
      <c r="A21">
        <v>25940</v>
      </c>
      <c r="B21" t="s">
        <v>37</v>
      </c>
      <c r="C21" t="s">
        <v>39</v>
      </c>
      <c r="D21" s="3">
        <v>20000</v>
      </c>
      <c r="E21">
        <v>2</v>
      </c>
      <c r="F21" t="s">
        <v>29</v>
      </c>
      <c r="G21" t="s">
        <v>20</v>
      </c>
      <c r="H21" t="s">
        <v>15</v>
      </c>
      <c r="I21">
        <v>2</v>
      </c>
      <c r="J21" t="s">
        <v>23</v>
      </c>
      <c r="K21" t="s">
        <v>24</v>
      </c>
      <c r="L21">
        <v>55</v>
      </c>
      <c r="M21" t="str" cm="1">
        <f t="array" ref="M21">_xlfn.IFS(L21&gt;49,"Old",L21&lt;18,"Kid",AND(L21&gt;=18,L21&lt;=50),"Young")</f>
        <v>Old</v>
      </c>
      <c r="N21" t="s">
        <v>15</v>
      </c>
    </row>
    <row r="22" spans="1:14" x14ac:dyDescent="0.3">
      <c r="A22">
        <v>25598</v>
      </c>
      <c r="B22" t="s">
        <v>36</v>
      </c>
      <c r="C22" t="s">
        <v>38</v>
      </c>
      <c r="D22" s="3">
        <v>40000</v>
      </c>
      <c r="E22">
        <v>0</v>
      </c>
      <c r="F22" t="s">
        <v>31</v>
      </c>
      <c r="G22" t="s">
        <v>20</v>
      </c>
      <c r="H22" t="s">
        <v>15</v>
      </c>
      <c r="I22">
        <v>0</v>
      </c>
      <c r="J22" t="s">
        <v>16</v>
      </c>
      <c r="K22" t="s">
        <v>17</v>
      </c>
      <c r="L22">
        <v>36</v>
      </c>
      <c r="M22" t="str" cm="1">
        <f t="array" ref="M22">_xlfn.IFS(L22&gt;49,"Old",L22&lt;18,"Kid",AND(L22&gt;=18,L22&lt;=50),"Young")</f>
        <v>Young</v>
      </c>
      <c r="N22" t="s">
        <v>15</v>
      </c>
    </row>
    <row r="23" spans="1:14" x14ac:dyDescent="0.3">
      <c r="A23">
        <v>21564</v>
      </c>
      <c r="B23" t="s">
        <v>37</v>
      </c>
      <c r="C23" t="s">
        <v>38</v>
      </c>
      <c r="D23" s="3">
        <v>80000</v>
      </c>
      <c r="E23">
        <v>0</v>
      </c>
      <c r="F23" t="s">
        <v>13</v>
      </c>
      <c r="G23" t="s">
        <v>21</v>
      </c>
      <c r="H23" t="s">
        <v>15</v>
      </c>
      <c r="I23">
        <v>4</v>
      </c>
      <c r="J23" t="s">
        <v>46</v>
      </c>
      <c r="K23" t="s">
        <v>24</v>
      </c>
      <c r="L23">
        <v>35</v>
      </c>
      <c r="M23" t="str" cm="1">
        <f t="array" ref="M23">_xlfn.IFS(L23&gt;49,"Old",L23&lt;18,"Kid",AND(L23&gt;=18,L23&lt;=50),"Young")</f>
        <v>Young</v>
      </c>
      <c r="N23" t="s">
        <v>18</v>
      </c>
    </row>
    <row r="24" spans="1:14" x14ac:dyDescent="0.3">
      <c r="A24">
        <v>19193</v>
      </c>
      <c r="B24" t="s">
        <v>37</v>
      </c>
      <c r="C24" t="s">
        <v>39</v>
      </c>
      <c r="D24" s="3">
        <v>40000</v>
      </c>
      <c r="E24">
        <v>2</v>
      </c>
      <c r="F24" t="s">
        <v>19</v>
      </c>
      <c r="G24" t="s">
        <v>20</v>
      </c>
      <c r="H24" t="s">
        <v>15</v>
      </c>
      <c r="I24">
        <v>0</v>
      </c>
      <c r="J24" t="s">
        <v>26</v>
      </c>
      <c r="K24" t="s">
        <v>17</v>
      </c>
      <c r="L24">
        <v>35</v>
      </c>
      <c r="M24" t="str" cm="1">
        <f t="array" ref="M24">_xlfn.IFS(L24&gt;49,"Old",L24&lt;18,"Kid",AND(L24&gt;=18,L24&lt;=50),"Young")</f>
        <v>Young</v>
      </c>
      <c r="N24" t="s">
        <v>15</v>
      </c>
    </row>
    <row r="25" spans="1:14" x14ac:dyDescent="0.3">
      <c r="A25">
        <v>26412</v>
      </c>
      <c r="B25" t="s">
        <v>36</v>
      </c>
      <c r="C25" t="s">
        <v>38</v>
      </c>
      <c r="D25" s="3">
        <v>80000</v>
      </c>
      <c r="E25">
        <v>5</v>
      </c>
      <c r="F25" t="s">
        <v>27</v>
      </c>
      <c r="G25" t="s">
        <v>28</v>
      </c>
      <c r="H25" t="s">
        <v>18</v>
      </c>
      <c r="I25">
        <v>3</v>
      </c>
      <c r="J25" t="s">
        <v>23</v>
      </c>
      <c r="K25" t="s">
        <v>17</v>
      </c>
      <c r="L25">
        <v>56</v>
      </c>
      <c r="M25" t="str" cm="1">
        <f t="array" ref="M25">_xlfn.IFS(L25&gt;49,"Old",L25&lt;18,"Kid",AND(L25&gt;=18,L25&lt;=50),"Young")</f>
        <v>Old</v>
      </c>
      <c r="N25" t="s">
        <v>18</v>
      </c>
    </row>
    <row r="26" spans="1:14" x14ac:dyDescent="0.3">
      <c r="A26">
        <v>27184</v>
      </c>
      <c r="B26" t="s">
        <v>37</v>
      </c>
      <c r="C26" t="s">
        <v>39</v>
      </c>
      <c r="D26" s="3">
        <v>40000</v>
      </c>
      <c r="E26">
        <v>2</v>
      </c>
      <c r="F26" t="s">
        <v>19</v>
      </c>
      <c r="G26" t="s">
        <v>20</v>
      </c>
      <c r="H26" t="s">
        <v>18</v>
      </c>
      <c r="I26">
        <v>1</v>
      </c>
      <c r="J26" t="s">
        <v>16</v>
      </c>
      <c r="K26" t="s">
        <v>17</v>
      </c>
      <c r="L26">
        <v>34</v>
      </c>
      <c r="M26" t="str" cm="1">
        <f t="array" ref="M26">_xlfn.IFS(L26&gt;49,"Old",L26&lt;18,"Kid",AND(L26&gt;=18,L26&lt;=50),"Young")</f>
        <v>Young</v>
      </c>
      <c r="N26" t="s">
        <v>18</v>
      </c>
    </row>
    <row r="27" spans="1:14" x14ac:dyDescent="0.3">
      <c r="A27">
        <v>12590</v>
      </c>
      <c r="B27" t="s">
        <v>37</v>
      </c>
      <c r="C27" t="s">
        <v>39</v>
      </c>
      <c r="D27" s="3">
        <v>30000</v>
      </c>
      <c r="E27">
        <v>1</v>
      </c>
      <c r="F27" t="s">
        <v>13</v>
      </c>
      <c r="G27" t="s">
        <v>20</v>
      </c>
      <c r="H27" t="s">
        <v>15</v>
      </c>
      <c r="I27">
        <v>0</v>
      </c>
      <c r="J27" t="s">
        <v>16</v>
      </c>
      <c r="K27" t="s">
        <v>17</v>
      </c>
      <c r="L27">
        <v>63</v>
      </c>
      <c r="M27" t="str" cm="1">
        <f t="array" ref="M27">_xlfn.IFS(L27&gt;49,"Old",L27&lt;18,"Kid",AND(L27&gt;=18,L27&lt;=50),"Young")</f>
        <v>Old</v>
      </c>
      <c r="N27" t="s">
        <v>18</v>
      </c>
    </row>
    <row r="28" spans="1:14" x14ac:dyDescent="0.3">
      <c r="A28">
        <v>17841</v>
      </c>
      <c r="B28" t="s">
        <v>37</v>
      </c>
      <c r="C28" t="s">
        <v>39</v>
      </c>
      <c r="D28" s="3">
        <v>30000</v>
      </c>
      <c r="E28">
        <v>0</v>
      </c>
      <c r="F28" t="s">
        <v>19</v>
      </c>
      <c r="G28" t="s">
        <v>20</v>
      </c>
      <c r="H28" t="s">
        <v>18</v>
      </c>
      <c r="I28">
        <v>1</v>
      </c>
      <c r="J28" t="s">
        <v>16</v>
      </c>
      <c r="K28" t="s">
        <v>17</v>
      </c>
      <c r="L28">
        <v>29</v>
      </c>
      <c r="M28" t="str" cm="1">
        <f t="array" ref="M28">_xlfn.IFS(L28&gt;49,"Old",L28&lt;18,"Kid",AND(L28&gt;=18,L28&lt;=50),"Young")</f>
        <v>Young</v>
      </c>
      <c r="N28" t="s">
        <v>15</v>
      </c>
    </row>
    <row r="29" spans="1:14" x14ac:dyDescent="0.3">
      <c r="A29">
        <v>18283</v>
      </c>
      <c r="B29" t="s">
        <v>37</v>
      </c>
      <c r="C29" t="s">
        <v>38</v>
      </c>
      <c r="D29" s="3">
        <v>100000</v>
      </c>
      <c r="E29">
        <v>0</v>
      </c>
      <c r="F29" t="s">
        <v>13</v>
      </c>
      <c r="G29" t="s">
        <v>21</v>
      </c>
      <c r="H29" t="s">
        <v>18</v>
      </c>
      <c r="I29">
        <v>1</v>
      </c>
      <c r="J29" t="s">
        <v>23</v>
      </c>
      <c r="K29" t="s">
        <v>24</v>
      </c>
      <c r="L29">
        <v>40</v>
      </c>
      <c r="M29" t="str" cm="1">
        <f t="array" ref="M29">_xlfn.IFS(L29&gt;49,"Old",L29&lt;18,"Kid",AND(L29&gt;=18,L29&lt;=50),"Young")</f>
        <v>Young</v>
      </c>
      <c r="N29" t="s">
        <v>18</v>
      </c>
    </row>
    <row r="30" spans="1:14" x14ac:dyDescent="0.3">
      <c r="A30">
        <v>18299</v>
      </c>
      <c r="B30" t="s">
        <v>36</v>
      </c>
      <c r="C30" t="s">
        <v>39</v>
      </c>
      <c r="D30" s="3">
        <v>70000</v>
      </c>
      <c r="E30">
        <v>5</v>
      </c>
      <c r="F30" t="s">
        <v>19</v>
      </c>
      <c r="G30" t="s">
        <v>14</v>
      </c>
      <c r="H30" t="s">
        <v>15</v>
      </c>
      <c r="I30">
        <v>2</v>
      </c>
      <c r="J30" t="s">
        <v>23</v>
      </c>
      <c r="K30" t="s">
        <v>24</v>
      </c>
      <c r="L30">
        <v>44</v>
      </c>
      <c r="M30" t="str" cm="1">
        <f t="array" ref="M30">_xlfn.IFS(L30&gt;49,"Old",L30&lt;18,"Kid",AND(L30&gt;=18,L30&lt;=50),"Young")</f>
        <v>Young</v>
      </c>
      <c r="N30" t="s">
        <v>18</v>
      </c>
    </row>
    <row r="31" spans="1:14" x14ac:dyDescent="0.3">
      <c r="A31">
        <v>16466</v>
      </c>
      <c r="B31" t="s">
        <v>37</v>
      </c>
      <c r="C31" t="s">
        <v>38</v>
      </c>
      <c r="D31" s="3">
        <v>20000</v>
      </c>
      <c r="E31">
        <v>0</v>
      </c>
      <c r="F31" t="s">
        <v>29</v>
      </c>
      <c r="G31" t="s">
        <v>25</v>
      </c>
      <c r="H31" t="s">
        <v>18</v>
      </c>
      <c r="I31">
        <v>2</v>
      </c>
      <c r="J31" t="s">
        <v>16</v>
      </c>
      <c r="K31" t="s">
        <v>17</v>
      </c>
      <c r="L31">
        <v>32</v>
      </c>
      <c r="M31" t="str" cm="1">
        <f t="array" ref="M31">_xlfn.IFS(L31&gt;49,"Old",L31&lt;18,"Kid",AND(L31&gt;=18,L31&lt;=50),"Young")</f>
        <v>Young</v>
      </c>
      <c r="N31" t="s">
        <v>15</v>
      </c>
    </row>
    <row r="32" spans="1:14" x14ac:dyDescent="0.3">
      <c r="A32">
        <v>19273</v>
      </c>
      <c r="B32" t="s">
        <v>36</v>
      </c>
      <c r="C32" t="s">
        <v>38</v>
      </c>
      <c r="D32" s="3">
        <v>20000</v>
      </c>
      <c r="E32">
        <v>2</v>
      </c>
      <c r="F32" t="s">
        <v>19</v>
      </c>
      <c r="G32" t="s">
        <v>25</v>
      </c>
      <c r="H32" t="s">
        <v>15</v>
      </c>
      <c r="I32">
        <v>0</v>
      </c>
      <c r="J32" t="s">
        <v>16</v>
      </c>
      <c r="K32" t="s">
        <v>17</v>
      </c>
      <c r="L32">
        <v>63</v>
      </c>
      <c r="M32" t="str" cm="1">
        <f t="array" ref="M32">_xlfn.IFS(L32&gt;49,"Old",L32&lt;18,"Kid",AND(L32&gt;=18,L32&lt;=50),"Young")</f>
        <v>Old</v>
      </c>
      <c r="N32" t="s">
        <v>18</v>
      </c>
    </row>
    <row r="33" spans="1:14" x14ac:dyDescent="0.3">
      <c r="A33">
        <v>22400</v>
      </c>
      <c r="B33" t="s">
        <v>36</v>
      </c>
      <c r="C33" t="s">
        <v>39</v>
      </c>
      <c r="D33" s="3">
        <v>10000</v>
      </c>
      <c r="E33">
        <v>0</v>
      </c>
      <c r="F33" t="s">
        <v>19</v>
      </c>
      <c r="G33" t="s">
        <v>25</v>
      </c>
      <c r="H33" t="s">
        <v>18</v>
      </c>
      <c r="I33">
        <v>1</v>
      </c>
      <c r="J33" t="s">
        <v>16</v>
      </c>
      <c r="K33" t="s">
        <v>24</v>
      </c>
      <c r="L33">
        <v>26</v>
      </c>
      <c r="M33" t="str" cm="1">
        <f t="array" ref="M33">_xlfn.IFS(L33&gt;49,"Old",L33&lt;18,"Kid",AND(L33&gt;=18,L33&lt;=50),"Young")</f>
        <v>Young</v>
      </c>
      <c r="N33" t="s">
        <v>15</v>
      </c>
    </row>
    <row r="34" spans="1:14" x14ac:dyDescent="0.3">
      <c r="A34">
        <v>20942</v>
      </c>
      <c r="B34" t="s">
        <v>37</v>
      </c>
      <c r="C34" t="s">
        <v>38</v>
      </c>
      <c r="D34" s="3">
        <v>20000</v>
      </c>
      <c r="E34">
        <v>0</v>
      </c>
      <c r="F34" t="s">
        <v>27</v>
      </c>
      <c r="G34" t="s">
        <v>25</v>
      </c>
      <c r="H34" t="s">
        <v>18</v>
      </c>
      <c r="I34">
        <v>1</v>
      </c>
      <c r="J34" t="s">
        <v>23</v>
      </c>
      <c r="K34" t="s">
        <v>17</v>
      </c>
      <c r="L34">
        <v>31</v>
      </c>
      <c r="M34" t="str" cm="1">
        <f t="array" ref="M34">_xlfn.IFS(L34&gt;49,"Old",L34&lt;18,"Kid",AND(L34&gt;=18,L34&lt;=50),"Young")</f>
        <v>Young</v>
      </c>
      <c r="N34" t="s">
        <v>18</v>
      </c>
    </row>
    <row r="35" spans="1:14" x14ac:dyDescent="0.3">
      <c r="A35">
        <v>18484</v>
      </c>
      <c r="B35" t="s">
        <v>37</v>
      </c>
      <c r="C35" t="s">
        <v>39</v>
      </c>
      <c r="D35" s="3">
        <v>80000</v>
      </c>
      <c r="E35">
        <v>2</v>
      </c>
      <c r="F35" t="s">
        <v>27</v>
      </c>
      <c r="G35" t="s">
        <v>14</v>
      </c>
      <c r="H35" t="s">
        <v>18</v>
      </c>
      <c r="I35">
        <v>2</v>
      </c>
      <c r="J35" t="s">
        <v>26</v>
      </c>
      <c r="K35" t="s">
        <v>24</v>
      </c>
      <c r="L35">
        <v>50</v>
      </c>
      <c r="M35" t="str" cm="1">
        <f t="array" ref="M35">_xlfn.IFS(L35&gt;49,"Old",L35&lt;18,"Kid",AND(L35&gt;=18,L35&lt;=50),"Young")</f>
        <v>Old</v>
      </c>
      <c r="N35" t="s">
        <v>15</v>
      </c>
    </row>
    <row r="36" spans="1:14" x14ac:dyDescent="0.3">
      <c r="A36">
        <v>12291</v>
      </c>
      <c r="B36" t="s">
        <v>37</v>
      </c>
      <c r="C36" t="s">
        <v>39</v>
      </c>
      <c r="D36" s="3">
        <v>90000</v>
      </c>
      <c r="E36">
        <v>5</v>
      </c>
      <c r="F36" t="s">
        <v>19</v>
      </c>
      <c r="G36" t="s">
        <v>21</v>
      </c>
      <c r="H36" t="s">
        <v>18</v>
      </c>
      <c r="I36">
        <v>2</v>
      </c>
      <c r="J36" t="s">
        <v>22</v>
      </c>
      <c r="K36" t="s">
        <v>17</v>
      </c>
      <c r="L36">
        <v>62</v>
      </c>
      <c r="M36" t="str" cm="1">
        <f t="array" ref="M36">_xlfn.IFS(L36&gt;49,"Old",L36&lt;18,"Kid",AND(L36&gt;=18,L36&lt;=50),"Young")</f>
        <v>Old</v>
      </c>
      <c r="N36" t="s">
        <v>15</v>
      </c>
    </row>
    <row r="37" spans="1:14" x14ac:dyDescent="0.3">
      <c r="A37">
        <v>28380</v>
      </c>
      <c r="B37" t="s">
        <v>37</v>
      </c>
      <c r="C37" t="s">
        <v>38</v>
      </c>
      <c r="D37" s="3">
        <v>10000</v>
      </c>
      <c r="E37">
        <v>5</v>
      </c>
      <c r="F37" t="s">
        <v>29</v>
      </c>
      <c r="G37" t="s">
        <v>25</v>
      </c>
      <c r="H37" t="s">
        <v>18</v>
      </c>
      <c r="I37">
        <v>2</v>
      </c>
      <c r="J37" t="s">
        <v>16</v>
      </c>
      <c r="K37" t="s">
        <v>17</v>
      </c>
      <c r="L37">
        <v>41</v>
      </c>
      <c r="M37" t="str" cm="1">
        <f t="array" ref="M37">_xlfn.IFS(L37&gt;49,"Old",L37&lt;18,"Kid",AND(L37&gt;=18,L37&lt;=50),"Young")</f>
        <v>Young</v>
      </c>
      <c r="N37" t="s">
        <v>18</v>
      </c>
    </row>
    <row r="38" spans="1:14" x14ac:dyDescent="0.3">
      <c r="A38">
        <v>17891</v>
      </c>
      <c r="B38" t="s">
        <v>36</v>
      </c>
      <c r="C38" t="s">
        <v>38</v>
      </c>
      <c r="D38" s="3">
        <v>10000</v>
      </c>
      <c r="E38">
        <v>2</v>
      </c>
      <c r="F38" t="s">
        <v>19</v>
      </c>
      <c r="G38" t="s">
        <v>25</v>
      </c>
      <c r="H38" t="s">
        <v>15</v>
      </c>
      <c r="I38">
        <v>1</v>
      </c>
      <c r="J38" t="s">
        <v>16</v>
      </c>
      <c r="K38" t="s">
        <v>17</v>
      </c>
      <c r="L38">
        <v>50</v>
      </c>
      <c r="M38" t="str" cm="1">
        <f t="array" ref="M38">_xlfn.IFS(L38&gt;49,"Old",L38&lt;18,"Kid",AND(L38&gt;=18,L38&lt;=50),"Young")</f>
        <v>Old</v>
      </c>
      <c r="N38" t="s">
        <v>15</v>
      </c>
    </row>
    <row r="39" spans="1:14" x14ac:dyDescent="0.3">
      <c r="A39">
        <v>27832</v>
      </c>
      <c r="B39" t="s">
        <v>37</v>
      </c>
      <c r="C39" t="s">
        <v>38</v>
      </c>
      <c r="D39" s="3">
        <v>30000</v>
      </c>
      <c r="E39">
        <v>0</v>
      </c>
      <c r="F39" t="s">
        <v>19</v>
      </c>
      <c r="G39" t="s">
        <v>20</v>
      </c>
      <c r="H39" t="s">
        <v>18</v>
      </c>
      <c r="I39">
        <v>1</v>
      </c>
      <c r="J39" t="s">
        <v>22</v>
      </c>
      <c r="K39" t="s">
        <v>17</v>
      </c>
      <c r="L39">
        <v>30</v>
      </c>
      <c r="M39" t="str" cm="1">
        <f t="array" ref="M39">_xlfn.IFS(L39&gt;49,"Old",L39&lt;18,"Kid",AND(L39&gt;=18,L39&lt;=50),"Young")</f>
        <v>Young</v>
      </c>
      <c r="N39" t="s">
        <v>18</v>
      </c>
    </row>
    <row r="40" spans="1:14" x14ac:dyDescent="0.3">
      <c r="A40">
        <v>26863</v>
      </c>
      <c r="B40" t="s">
        <v>37</v>
      </c>
      <c r="C40" t="s">
        <v>39</v>
      </c>
      <c r="D40" s="3">
        <v>20000</v>
      </c>
      <c r="E40">
        <v>0</v>
      </c>
      <c r="F40" t="s">
        <v>27</v>
      </c>
      <c r="G40" t="s">
        <v>25</v>
      </c>
      <c r="H40" t="s">
        <v>18</v>
      </c>
      <c r="I40">
        <v>1</v>
      </c>
      <c r="J40" t="s">
        <v>22</v>
      </c>
      <c r="K40" t="s">
        <v>17</v>
      </c>
      <c r="L40">
        <v>28</v>
      </c>
      <c r="M40" t="str" cm="1">
        <f t="array" ref="M40">_xlfn.IFS(L40&gt;49,"Old",L40&lt;18,"Kid",AND(L40&gt;=18,L40&lt;=50),"Young")</f>
        <v>Young</v>
      </c>
      <c r="N40" t="s">
        <v>18</v>
      </c>
    </row>
    <row r="41" spans="1:14" x14ac:dyDescent="0.3">
      <c r="A41">
        <v>16259</v>
      </c>
      <c r="B41" t="s">
        <v>37</v>
      </c>
      <c r="C41" t="s">
        <v>38</v>
      </c>
      <c r="D41" s="3">
        <v>10000</v>
      </c>
      <c r="E41">
        <v>4</v>
      </c>
      <c r="F41" t="s">
        <v>29</v>
      </c>
      <c r="G41" t="s">
        <v>25</v>
      </c>
      <c r="H41" t="s">
        <v>15</v>
      </c>
      <c r="I41">
        <v>2</v>
      </c>
      <c r="J41" t="s">
        <v>16</v>
      </c>
      <c r="K41" t="s">
        <v>17</v>
      </c>
      <c r="L41">
        <v>40</v>
      </c>
      <c r="M41" t="str" cm="1">
        <f t="array" ref="M41">_xlfn.IFS(L41&gt;49,"Old",L41&lt;18,"Kid",AND(L41&gt;=18,L41&lt;=50),"Young")</f>
        <v>Young</v>
      </c>
      <c r="N41" t="s">
        <v>15</v>
      </c>
    </row>
    <row r="42" spans="1:14" x14ac:dyDescent="0.3">
      <c r="A42">
        <v>27803</v>
      </c>
      <c r="B42" t="s">
        <v>37</v>
      </c>
      <c r="C42" t="s">
        <v>38</v>
      </c>
      <c r="D42" s="3">
        <v>30000</v>
      </c>
      <c r="E42">
        <v>2</v>
      </c>
      <c r="F42" t="s">
        <v>19</v>
      </c>
      <c r="G42" t="s">
        <v>20</v>
      </c>
      <c r="H42" t="s">
        <v>18</v>
      </c>
      <c r="I42">
        <v>0</v>
      </c>
      <c r="J42" t="s">
        <v>16</v>
      </c>
      <c r="K42" t="s">
        <v>17</v>
      </c>
      <c r="L42">
        <v>43</v>
      </c>
      <c r="M42" t="str" cm="1">
        <f t="array" ref="M42">_xlfn.IFS(L42&gt;49,"Old",L42&lt;18,"Kid",AND(L42&gt;=18,L42&lt;=50),"Young")</f>
        <v>Young</v>
      </c>
      <c r="N42" t="s">
        <v>18</v>
      </c>
    </row>
    <row r="43" spans="1:14" x14ac:dyDescent="0.3">
      <c r="A43">
        <v>14347</v>
      </c>
      <c r="B43" t="s">
        <v>37</v>
      </c>
      <c r="C43" t="s">
        <v>38</v>
      </c>
      <c r="D43" s="3">
        <v>40000</v>
      </c>
      <c r="E43">
        <v>2</v>
      </c>
      <c r="F43" t="s">
        <v>13</v>
      </c>
      <c r="G43" t="s">
        <v>28</v>
      </c>
      <c r="H43" t="s">
        <v>15</v>
      </c>
      <c r="I43">
        <v>2</v>
      </c>
      <c r="J43" t="s">
        <v>23</v>
      </c>
      <c r="K43" t="s">
        <v>24</v>
      </c>
      <c r="L43">
        <v>65</v>
      </c>
      <c r="M43" t="str" cm="1">
        <f t="array" ref="M43">_xlfn.IFS(L43&gt;49,"Old",L43&lt;18,"Kid",AND(L43&gt;=18,L43&lt;=50),"Young")</f>
        <v>Old</v>
      </c>
      <c r="N43" t="s">
        <v>15</v>
      </c>
    </row>
    <row r="44" spans="1:14" x14ac:dyDescent="0.3">
      <c r="A44">
        <v>17703</v>
      </c>
      <c r="B44" t="s">
        <v>36</v>
      </c>
      <c r="C44" t="s">
        <v>38</v>
      </c>
      <c r="D44" s="3">
        <v>10000</v>
      </c>
      <c r="E44">
        <v>1</v>
      </c>
      <c r="F44" t="s">
        <v>31</v>
      </c>
      <c r="G44" t="s">
        <v>25</v>
      </c>
      <c r="H44" t="s">
        <v>15</v>
      </c>
      <c r="I44">
        <v>0</v>
      </c>
      <c r="J44" t="s">
        <v>16</v>
      </c>
      <c r="K44" t="s">
        <v>17</v>
      </c>
      <c r="L44">
        <v>40</v>
      </c>
      <c r="M44" t="str" cm="1">
        <f t="array" ref="M44">_xlfn.IFS(L44&gt;49,"Old",L44&lt;18,"Kid",AND(L44&gt;=18,L44&lt;=50),"Young")</f>
        <v>Young</v>
      </c>
      <c r="N44" t="s">
        <v>18</v>
      </c>
    </row>
    <row r="45" spans="1:14" x14ac:dyDescent="0.3">
      <c r="A45">
        <v>17185</v>
      </c>
      <c r="B45" t="s">
        <v>36</v>
      </c>
      <c r="C45" t="s">
        <v>38</v>
      </c>
      <c r="D45" s="3">
        <v>170000</v>
      </c>
      <c r="E45">
        <v>4</v>
      </c>
      <c r="F45" t="s">
        <v>19</v>
      </c>
      <c r="G45" t="s">
        <v>21</v>
      </c>
      <c r="H45" t="s">
        <v>18</v>
      </c>
      <c r="I45">
        <v>3</v>
      </c>
      <c r="J45" t="s">
        <v>23</v>
      </c>
      <c r="K45" t="s">
        <v>17</v>
      </c>
      <c r="L45">
        <v>48</v>
      </c>
      <c r="M45" t="str" cm="1">
        <f t="array" ref="M45">_xlfn.IFS(L45&gt;49,"Old",L45&lt;18,"Kid",AND(L45&gt;=18,L45&lt;=50),"Young")</f>
        <v>Young</v>
      </c>
      <c r="N45" t="s">
        <v>15</v>
      </c>
    </row>
    <row r="46" spans="1:14" x14ac:dyDescent="0.3">
      <c r="A46">
        <v>29380</v>
      </c>
      <c r="B46" t="s">
        <v>36</v>
      </c>
      <c r="C46" t="s">
        <v>38</v>
      </c>
      <c r="D46" s="3">
        <v>20000</v>
      </c>
      <c r="E46">
        <v>3</v>
      </c>
      <c r="F46" t="s">
        <v>27</v>
      </c>
      <c r="G46" t="s">
        <v>25</v>
      </c>
      <c r="H46" t="s">
        <v>15</v>
      </c>
      <c r="I46">
        <v>0</v>
      </c>
      <c r="J46" t="s">
        <v>16</v>
      </c>
      <c r="K46" t="s">
        <v>17</v>
      </c>
      <c r="L46">
        <v>41</v>
      </c>
      <c r="M46" t="str" cm="1">
        <f t="array" ref="M46">_xlfn.IFS(L46&gt;49,"Old",L46&lt;18,"Kid",AND(L46&gt;=18,L46&lt;=50),"Young")</f>
        <v>Young</v>
      </c>
      <c r="N46" t="s">
        <v>15</v>
      </c>
    </row>
    <row r="47" spans="1:14" x14ac:dyDescent="0.3">
      <c r="A47">
        <v>23986</v>
      </c>
      <c r="B47" t="s">
        <v>36</v>
      </c>
      <c r="C47" t="s">
        <v>38</v>
      </c>
      <c r="D47" s="3">
        <v>20000</v>
      </c>
      <c r="E47">
        <v>1</v>
      </c>
      <c r="F47" t="s">
        <v>13</v>
      </c>
      <c r="G47" t="s">
        <v>20</v>
      </c>
      <c r="H47" t="s">
        <v>15</v>
      </c>
      <c r="I47">
        <v>0</v>
      </c>
      <c r="J47" t="s">
        <v>16</v>
      </c>
      <c r="K47" t="s">
        <v>17</v>
      </c>
      <c r="L47">
        <v>66</v>
      </c>
      <c r="M47" t="str" cm="1">
        <f t="array" ref="M47">_xlfn.IFS(L47&gt;49,"Old",L47&lt;18,"Kid",AND(L47&gt;=18,L47&lt;=50),"Young")</f>
        <v>Old</v>
      </c>
      <c r="N47" t="s">
        <v>15</v>
      </c>
    </row>
    <row r="48" spans="1:14" x14ac:dyDescent="0.3">
      <c r="A48">
        <v>24466</v>
      </c>
      <c r="B48" t="s">
        <v>36</v>
      </c>
      <c r="C48" t="s">
        <v>38</v>
      </c>
      <c r="D48" s="3">
        <v>60000</v>
      </c>
      <c r="E48">
        <v>1</v>
      </c>
      <c r="F48" t="s">
        <v>19</v>
      </c>
      <c r="G48" t="s">
        <v>14</v>
      </c>
      <c r="H48" t="s">
        <v>15</v>
      </c>
      <c r="I48">
        <v>1</v>
      </c>
      <c r="J48" t="s">
        <v>23</v>
      </c>
      <c r="K48" t="s">
        <v>24</v>
      </c>
      <c r="L48">
        <v>46</v>
      </c>
      <c r="M48" t="str" cm="1">
        <f t="array" ref="M48">_xlfn.IFS(L48&gt;49,"Old",L48&lt;18,"Kid",AND(L48&gt;=18,L48&lt;=50),"Young")</f>
        <v>Young</v>
      </c>
      <c r="N48" t="s">
        <v>15</v>
      </c>
    </row>
    <row r="49" spans="1:14" x14ac:dyDescent="0.3">
      <c r="A49">
        <v>29097</v>
      </c>
      <c r="B49" t="s">
        <v>37</v>
      </c>
      <c r="C49" t="s">
        <v>38</v>
      </c>
      <c r="D49" s="3">
        <v>40000</v>
      </c>
      <c r="E49">
        <v>2</v>
      </c>
      <c r="F49" t="s">
        <v>19</v>
      </c>
      <c r="G49" t="s">
        <v>14</v>
      </c>
      <c r="H49" t="s">
        <v>15</v>
      </c>
      <c r="I49">
        <v>2</v>
      </c>
      <c r="J49" t="s">
        <v>23</v>
      </c>
      <c r="K49" t="s">
        <v>24</v>
      </c>
      <c r="L49">
        <v>52</v>
      </c>
      <c r="M49" t="str" cm="1">
        <f t="array" ref="M49">_xlfn.IFS(L49&gt;49,"Old",L49&lt;18,"Kid",AND(L49&gt;=18,L49&lt;=50),"Young")</f>
        <v>Old</v>
      </c>
      <c r="N49" t="s">
        <v>15</v>
      </c>
    </row>
    <row r="50" spans="1:14" x14ac:dyDescent="0.3">
      <c r="A50">
        <v>19487</v>
      </c>
      <c r="B50" t="s">
        <v>36</v>
      </c>
      <c r="C50" t="s">
        <v>39</v>
      </c>
      <c r="D50" s="3">
        <v>30000</v>
      </c>
      <c r="E50">
        <v>2</v>
      </c>
      <c r="F50" t="s">
        <v>19</v>
      </c>
      <c r="G50" t="s">
        <v>20</v>
      </c>
      <c r="H50" t="s">
        <v>18</v>
      </c>
      <c r="I50">
        <v>2</v>
      </c>
      <c r="J50" t="s">
        <v>16</v>
      </c>
      <c r="K50" t="s">
        <v>17</v>
      </c>
      <c r="L50">
        <v>42</v>
      </c>
      <c r="M50" t="str" cm="1">
        <f t="array" ref="M50">_xlfn.IFS(L50&gt;49,"Old",L50&lt;18,"Kid",AND(L50&gt;=18,L50&lt;=50),"Young")</f>
        <v>Young</v>
      </c>
      <c r="N50" t="s">
        <v>18</v>
      </c>
    </row>
    <row r="51" spans="1:14" x14ac:dyDescent="0.3">
      <c r="A51">
        <v>14939</v>
      </c>
      <c r="B51" t="s">
        <v>37</v>
      </c>
      <c r="C51" t="s">
        <v>39</v>
      </c>
      <c r="D51" s="3">
        <v>40000</v>
      </c>
      <c r="E51">
        <v>0</v>
      </c>
      <c r="F51" t="s">
        <v>13</v>
      </c>
      <c r="G51" t="s">
        <v>20</v>
      </c>
      <c r="H51" t="s">
        <v>15</v>
      </c>
      <c r="I51">
        <v>0</v>
      </c>
      <c r="J51" t="s">
        <v>16</v>
      </c>
      <c r="K51" t="s">
        <v>17</v>
      </c>
      <c r="L51">
        <v>39</v>
      </c>
      <c r="M51" t="str" cm="1">
        <f t="array" ref="M51">_xlfn.IFS(L51&gt;49,"Old",L51&lt;18,"Kid",AND(L51&gt;=18,L51&lt;=50),"Young")</f>
        <v>Young</v>
      </c>
      <c r="N51" t="s">
        <v>15</v>
      </c>
    </row>
    <row r="52" spans="1:14" x14ac:dyDescent="0.3">
      <c r="A52">
        <v>13826</v>
      </c>
      <c r="B52" t="s">
        <v>37</v>
      </c>
      <c r="C52" t="s">
        <v>38</v>
      </c>
      <c r="D52" s="3">
        <v>30000</v>
      </c>
      <c r="E52">
        <v>0</v>
      </c>
      <c r="F52" t="s">
        <v>19</v>
      </c>
      <c r="G52" t="s">
        <v>20</v>
      </c>
      <c r="H52" t="s">
        <v>18</v>
      </c>
      <c r="I52">
        <v>1</v>
      </c>
      <c r="J52" t="s">
        <v>16</v>
      </c>
      <c r="K52" t="s">
        <v>17</v>
      </c>
      <c r="L52">
        <v>28</v>
      </c>
      <c r="M52" t="str" cm="1">
        <f t="array" ref="M52">_xlfn.IFS(L52&gt;49,"Old",L52&lt;18,"Kid",AND(L52&gt;=18,L52&lt;=50),"Young")</f>
        <v>Young</v>
      </c>
      <c r="N52" t="s">
        <v>18</v>
      </c>
    </row>
    <row r="53" spans="1:14" x14ac:dyDescent="0.3">
      <c r="A53">
        <v>20619</v>
      </c>
      <c r="B53" t="s">
        <v>37</v>
      </c>
      <c r="C53" t="s">
        <v>39</v>
      </c>
      <c r="D53" s="3">
        <v>80000</v>
      </c>
      <c r="E53">
        <v>0</v>
      </c>
      <c r="F53" t="s">
        <v>13</v>
      </c>
      <c r="G53" t="s">
        <v>21</v>
      </c>
      <c r="H53" t="s">
        <v>18</v>
      </c>
      <c r="I53">
        <v>4</v>
      </c>
      <c r="J53" t="s">
        <v>46</v>
      </c>
      <c r="K53" t="s">
        <v>24</v>
      </c>
      <c r="L53">
        <v>35</v>
      </c>
      <c r="M53" t="str" cm="1">
        <f t="array" ref="M53">_xlfn.IFS(L53&gt;49,"Old",L53&lt;18,"Kid",AND(L53&gt;=18,L53&lt;=50),"Young")</f>
        <v>Young</v>
      </c>
      <c r="N53" t="s">
        <v>18</v>
      </c>
    </row>
    <row r="54" spans="1:14" x14ac:dyDescent="0.3">
      <c r="A54">
        <v>12558</v>
      </c>
      <c r="B54" t="s">
        <v>36</v>
      </c>
      <c r="C54" t="s">
        <v>38</v>
      </c>
      <c r="D54" s="3">
        <v>20000</v>
      </c>
      <c r="E54">
        <v>1</v>
      </c>
      <c r="F54" t="s">
        <v>13</v>
      </c>
      <c r="G54" t="s">
        <v>20</v>
      </c>
      <c r="H54" t="s">
        <v>15</v>
      </c>
      <c r="I54">
        <v>0</v>
      </c>
      <c r="J54" t="s">
        <v>16</v>
      </c>
      <c r="K54" t="s">
        <v>17</v>
      </c>
      <c r="L54">
        <v>65</v>
      </c>
      <c r="M54" t="str" cm="1">
        <f t="array" ref="M54">_xlfn.IFS(L54&gt;49,"Old",L54&lt;18,"Kid",AND(L54&gt;=18,L54&lt;=50),"Young")</f>
        <v>Old</v>
      </c>
      <c r="N54" t="s">
        <v>18</v>
      </c>
    </row>
    <row r="55" spans="1:14" x14ac:dyDescent="0.3">
      <c r="A55">
        <v>24871</v>
      </c>
      <c r="B55" t="s">
        <v>37</v>
      </c>
      <c r="C55" t="s">
        <v>38</v>
      </c>
      <c r="D55" s="3">
        <v>90000</v>
      </c>
      <c r="E55">
        <v>4</v>
      </c>
      <c r="F55" t="s">
        <v>27</v>
      </c>
      <c r="G55" t="s">
        <v>28</v>
      </c>
      <c r="H55" t="s">
        <v>18</v>
      </c>
      <c r="I55">
        <v>3</v>
      </c>
      <c r="J55" t="s">
        <v>23</v>
      </c>
      <c r="K55" t="s">
        <v>17</v>
      </c>
      <c r="L55">
        <v>56</v>
      </c>
      <c r="M55" t="str" cm="1">
        <f t="array" ref="M55">_xlfn.IFS(L55&gt;49,"Old",L55&lt;18,"Kid",AND(L55&gt;=18,L55&lt;=50),"Young")</f>
        <v>Old</v>
      </c>
      <c r="N55" t="s">
        <v>18</v>
      </c>
    </row>
    <row r="56" spans="1:14" x14ac:dyDescent="0.3">
      <c r="A56">
        <v>17319</v>
      </c>
      <c r="B56" t="s">
        <v>37</v>
      </c>
      <c r="C56" t="s">
        <v>38</v>
      </c>
      <c r="D56" s="3">
        <v>70000</v>
      </c>
      <c r="E56">
        <v>0</v>
      </c>
      <c r="F56" t="s">
        <v>13</v>
      </c>
      <c r="G56" t="s">
        <v>21</v>
      </c>
      <c r="H56" t="s">
        <v>18</v>
      </c>
      <c r="I56">
        <v>1</v>
      </c>
      <c r="J56" t="s">
        <v>23</v>
      </c>
      <c r="K56" t="s">
        <v>24</v>
      </c>
      <c r="L56">
        <v>42</v>
      </c>
      <c r="M56" t="str" cm="1">
        <f t="array" ref="M56">_xlfn.IFS(L56&gt;49,"Old",L56&lt;18,"Kid",AND(L56&gt;=18,L56&lt;=50),"Young")</f>
        <v>Young</v>
      </c>
      <c r="N56" t="s">
        <v>18</v>
      </c>
    </row>
    <row r="57" spans="1:14" x14ac:dyDescent="0.3">
      <c r="A57">
        <v>28906</v>
      </c>
      <c r="B57" t="s">
        <v>36</v>
      </c>
      <c r="C57" t="s">
        <v>39</v>
      </c>
      <c r="D57" s="3">
        <v>80000</v>
      </c>
      <c r="E57">
        <v>4</v>
      </c>
      <c r="F57" t="s">
        <v>27</v>
      </c>
      <c r="G57" t="s">
        <v>21</v>
      </c>
      <c r="H57" t="s">
        <v>15</v>
      </c>
      <c r="I57">
        <v>2</v>
      </c>
      <c r="J57" t="s">
        <v>46</v>
      </c>
      <c r="K57" t="s">
        <v>17</v>
      </c>
      <c r="L57">
        <v>54</v>
      </c>
      <c r="M57" t="str" cm="1">
        <f t="array" ref="M57">_xlfn.IFS(L57&gt;49,"Old",L57&lt;18,"Kid",AND(L57&gt;=18,L57&lt;=50),"Young")</f>
        <v>Old</v>
      </c>
      <c r="N57" t="s">
        <v>18</v>
      </c>
    </row>
    <row r="58" spans="1:14" x14ac:dyDescent="0.3">
      <c r="A58">
        <v>12808</v>
      </c>
      <c r="B58" t="s">
        <v>36</v>
      </c>
      <c r="C58" t="s">
        <v>39</v>
      </c>
      <c r="D58" s="3">
        <v>40000</v>
      </c>
      <c r="E58">
        <v>0</v>
      </c>
      <c r="F58" t="s">
        <v>13</v>
      </c>
      <c r="G58" t="s">
        <v>20</v>
      </c>
      <c r="H58" t="s">
        <v>15</v>
      </c>
      <c r="I58">
        <v>0</v>
      </c>
      <c r="J58" t="s">
        <v>16</v>
      </c>
      <c r="K58" t="s">
        <v>17</v>
      </c>
      <c r="L58">
        <v>38</v>
      </c>
      <c r="M58" t="str" cm="1">
        <f t="array" ref="M58">_xlfn.IFS(L58&gt;49,"Old",L58&lt;18,"Kid",AND(L58&gt;=18,L58&lt;=50),"Young")</f>
        <v>Young</v>
      </c>
      <c r="N58" t="s">
        <v>15</v>
      </c>
    </row>
    <row r="59" spans="1:14" x14ac:dyDescent="0.3">
      <c r="A59">
        <v>20567</v>
      </c>
      <c r="B59" t="s">
        <v>36</v>
      </c>
      <c r="C59" t="s">
        <v>39</v>
      </c>
      <c r="D59" s="3">
        <v>130000</v>
      </c>
      <c r="E59">
        <v>4</v>
      </c>
      <c r="F59" t="s">
        <v>19</v>
      </c>
      <c r="G59" t="s">
        <v>21</v>
      </c>
      <c r="H59" t="s">
        <v>18</v>
      </c>
      <c r="I59">
        <v>4</v>
      </c>
      <c r="J59" t="s">
        <v>23</v>
      </c>
      <c r="K59" t="s">
        <v>17</v>
      </c>
      <c r="L59">
        <v>61</v>
      </c>
      <c r="M59" t="str" cm="1">
        <f t="array" ref="M59">_xlfn.IFS(L59&gt;49,"Old",L59&lt;18,"Kid",AND(L59&gt;=18,L59&lt;=50),"Young")</f>
        <v>Old</v>
      </c>
      <c r="N59" t="s">
        <v>15</v>
      </c>
    </row>
    <row r="60" spans="1:14" x14ac:dyDescent="0.3">
      <c r="A60">
        <v>25502</v>
      </c>
      <c r="B60" t="s">
        <v>36</v>
      </c>
      <c r="C60" t="s">
        <v>38</v>
      </c>
      <c r="D60" s="3">
        <v>40000</v>
      </c>
      <c r="E60">
        <v>1</v>
      </c>
      <c r="F60" t="s">
        <v>13</v>
      </c>
      <c r="G60" t="s">
        <v>14</v>
      </c>
      <c r="H60" t="s">
        <v>15</v>
      </c>
      <c r="I60">
        <v>0</v>
      </c>
      <c r="J60" t="s">
        <v>16</v>
      </c>
      <c r="K60" t="s">
        <v>17</v>
      </c>
      <c r="L60">
        <v>43</v>
      </c>
      <c r="M60" t="str" cm="1">
        <f t="array" ref="M60">_xlfn.IFS(L60&gt;49,"Old",L60&lt;18,"Kid",AND(L60&gt;=18,L60&lt;=50),"Young")</f>
        <v>Young</v>
      </c>
      <c r="N60" t="s">
        <v>15</v>
      </c>
    </row>
    <row r="61" spans="1:14" x14ac:dyDescent="0.3">
      <c r="A61">
        <v>15580</v>
      </c>
      <c r="B61" t="s">
        <v>36</v>
      </c>
      <c r="C61" t="s">
        <v>39</v>
      </c>
      <c r="D61" s="3">
        <v>60000</v>
      </c>
      <c r="E61">
        <v>2</v>
      </c>
      <c r="F61" t="s">
        <v>13</v>
      </c>
      <c r="G61" t="s">
        <v>21</v>
      </c>
      <c r="H61" t="s">
        <v>15</v>
      </c>
      <c r="I61">
        <v>1</v>
      </c>
      <c r="J61" t="s">
        <v>22</v>
      </c>
      <c r="K61" t="s">
        <v>24</v>
      </c>
      <c r="L61">
        <v>38</v>
      </c>
      <c r="M61" t="str" cm="1">
        <f t="array" ref="M61">_xlfn.IFS(L61&gt;49,"Old",L61&lt;18,"Kid",AND(L61&gt;=18,L61&lt;=50),"Young")</f>
        <v>Young</v>
      </c>
      <c r="N61" t="s">
        <v>15</v>
      </c>
    </row>
    <row r="62" spans="1:14" x14ac:dyDescent="0.3">
      <c r="A62">
        <v>24185</v>
      </c>
      <c r="B62" t="s">
        <v>37</v>
      </c>
      <c r="C62" t="s">
        <v>38</v>
      </c>
      <c r="D62" s="3">
        <v>10000</v>
      </c>
      <c r="E62">
        <v>1</v>
      </c>
      <c r="F62" t="s">
        <v>27</v>
      </c>
      <c r="G62" t="s">
        <v>25</v>
      </c>
      <c r="H62" t="s">
        <v>18</v>
      </c>
      <c r="I62">
        <v>1</v>
      </c>
      <c r="J62" t="s">
        <v>26</v>
      </c>
      <c r="K62" t="s">
        <v>17</v>
      </c>
      <c r="L62">
        <v>45</v>
      </c>
      <c r="M62" t="str" cm="1">
        <f t="array" ref="M62">_xlfn.IFS(L62&gt;49,"Old",L62&lt;18,"Kid",AND(L62&gt;=18,L62&lt;=50),"Young")</f>
        <v>Young</v>
      </c>
      <c r="N62" t="s">
        <v>18</v>
      </c>
    </row>
    <row r="63" spans="1:14" x14ac:dyDescent="0.3">
      <c r="A63">
        <v>19291</v>
      </c>
      <c r="B63" t="s">
        <v>37</v>
      </c>
      <c r="C63" t="s">
        <v>38</v>
      </c>
      <c r="D63" s="3">
        <v>10000</v>
      </c>
      <c r="E63">
        <v>2</v>
      </c>
      <c r="F63" t="s">
        <v>27</v>
      </c>
      <c r="G63" t="s">
        <v>25</v>
      </c>
      <c r="H63" t="s">
        <v>15</v>
      </c>
      <c r="I63">
        <v>0</v>
      </c>
      <c r="J63" t="s">
        <v>16</v>
      </c>
      <c r="K63" t="s">
        <v>17</v>
      </c>
      <c r="L63">
        <v>35</v>
      </c>
      <c r="M63" t="str" cm="1">
        <f t="array" ref="M63">_xlfn.IFS(L63&gt;49,"Old",L63&lt;18,"Kid",AND(L63&gt;=18,L63&lt;=50),"Young")</f>
        <v>Young</v>
      </c>
      <c r="N63" t="s">
        <v>18</v>
      </c>
    </row>
    <row r="64" spans="1:14" x14ac:dyDescent="0.3">
      <c r="A64">
        <v>16713</v>
      </c>
      <c r="B64" t="s">
        <v>36</v>
      </c>
      <c r="C64" t="s">
        <v>39</v>
      </c>
      <c r="D64" s="3">
        <v>40000</v>
      </c>
      <c r="E64">
        <v>2</v>
      </c>
      <c r="F64" t="s">
        <v>13</v>
      </c>
      <c r="G64" t="s">
        <v>28</v>
      </c>
      <c r="H64" t="s">
        <v>15</v>
      </c>
      <c r="I64">
        <v>1</v>
      </c>
      <c r="J64" t="s">
        <v>16</v>
      </c>
      <c r="K64" t="s">
        <v>24</v>
      </c>
      <c r="L64">
        <v>52</v>
      </c>
      <c r="M64" t="str" cm="1">
        <f t="array" ref="M64">_xlfn.IFS(L64&gt;49,"Old",L64&lt;18,"Kid",AND(L64&gt;=18,L64&lt;=50),"Young")</f>
        <v>Old</v>
      </c>
      <c r="N64" t="s">
        <v>15</v>
      </c>
    </row>
    <row r="65" spans="1:14" x14ac:dyDescent="0.3">
      <c r="A65">
        <v>16185</v>
      </c>
      <c r="B65" t="s">
        <v>37</v>
      </c>
      <c r="C65" t="s">
        <v>39</v>
      </c>
      <c r="D65" s="3">
        <v>60000</v>
      </c>
      <c r="E65">
        <v>4</v>
      </c>
      <c r="F65" t="s">
        <v>13</v>
      </c>
      <c r="G65" t="s">
        <v>21</v>
      </c>
      <c r="H65" t="s">
        <v>15</v>
      </c>
      <c r="I65">
        <v>3</v>
      </c>
      <c r="J65" t="s">
        <v>46</v>
      </c>
      <c r="K65" t="s">
        <v>24</v>
      </c>
      <c r="L65">
        <v>41</v>
      </c>
      <c r="M65" t="str" cm="1">
        <f t="array" ref="M65">_xlfn.IFS(L65&gt;49,"Old",L65&lt;18,"Kid",AND(L65&gt;=18,L65&lt;=50),"Young")</f>
        <v>Young</v>
      </c>
      <c r="N65" t="s">
        <v>18</v>
      </c>
    </row>
    <row r="66" spans="1:14" x14ac:dyDescent="0.3">
      <c r="A66">
        <v>14927</v>
      </c>
      <c r="B66" t="s">
        <v>36</v>
      </c>
      <c r="C66" t="s">
        <v>38</v>
      </c>
      <c r="D66" s="3">
        <v>30000</v>
      </c>
      <c r="E66">
        <v>1</v>
      </c>
      <c r="F66" t="s">
        <v>13</v>
      </c>
      <c r="G66" t="s">
        <v>20</v>
      </c>
      <c r="H66" t="s">
        <v>15</v>
      </c>
      <c r="I66">
        <v>0</v>
      </c>
      <c r="J66" t="s">
        <v>16</v>
      </c>
      <c r="K66" t="s">
        <v>17</v>
      </c>
      <c r="L66">
        <v>37</v>
      </c>
      <c r="M66" t="str" cm="1">
        <f t="array" ref="M66">_xlfn.IFS(L66&gt;49,"Old",L66&lt;18,"Kid",AND(L66&gt;=18,L66&lt;=50),"Young")</f>
        <v>Young</v>
      </c>
      <c r="N66" t="s">
        <v>15</v>
      </c>
    </row>
    <row r="67" spans="1:14" x14ac:dyDescent="0.3">
      <c r="A67">
        <v>29337</v>
      </c>
      <c r="B67" t="s">
        <v>37</v>
      </c>
      <c r="C67" t="s">
        <v>39</v>
      </c>
      <c r="D67" s="3">
        <v>30000</v>
      </c>
      <c r="E67">
        <v>2</v>
      </c>
      <c r="F67" t="s">
        <v>19</v>
      </c>
      <c r="G67" t="s">
        <v>20</v>
      </c>
      <c r="H67" t="s">
        <v>15</v>
      </c>
      <c r="I67">
        <v>2</v>
      </c>
      <c r="J67" t="s">
        <v>23</v>
      </c>
      <c r="K67" t="s">
        <v>24</v>
      </c>
      <c r="L67">
        <v>68</v>
      </c>
      <c r="M67" t="str" cm="1">
        <f t="array" ref="M67">_xlfn.IFS(L67&gt;49,"Old",L67&lt;18,"Kid",AND(L67&gt;=18,L67&lt;=50),"Young")</f>
        <v>Old</v>
      </c>
      <c r="N67" t="s">
        <v>18</v>
      </c>
    </row>
    <row r="68" spans="1:14" x14ac:dyDescent="0.3">
      <c r="A68">
        <v>29355</v>
      </c>
      <c r="B68" t="s">
        <v>36</v>
      </c>
      <c r="C68" t="s">
        <v>38</v>
      </c>
      <c r="D68" s="3">
        <v>40000</v>
      </c>
      <c r="E68">
        <v>0</v>
      </c>
      <c r="F68" t="s">
        <v>31</v>
      </c>
      <c r="G68" t="s">
        <v>20</v>
      </c>
      <c r="H68" t="s">
        <v>15</v>
      </c>
      <c r="I68">
        <v>0</v>
      </c>
      <c r="J68" t="s">
        <v>16</v>
      </c>
      <c r="K68" t="s">
        <v>17</v>
      </c>
      <c r="L68">
        <v>37</v>
      </c>
      <c r="M68" t="str" cm="1">
        <f t="array" ref="M68">_xlfn.IFS(L68&gt;49,"Old",L68&lt;18,"Kid",AND(L68&gt;=18,L68&lt;=50),"Young")</f>
        <v>Young</v>
      </c>
      <c r="N68" t="s">
        <v>15</v>
      </c>
    </row>
    <row r="69" spans="1:14" x14ac:dyDescent="0.3">
      <c r="A69">
        <v>25303</v>
      </c>
      <c r="B69" t="s">
        <v>37</v>
      </c>
      <c r="C69" t="s">
        <v>39</v>
      </c>
      <c r="D69" s="3">
        <v>30000</v>
      </c>
      <c r="E69">
        <v>0</v>
      </c>
      <c r="F69" t="s">
        <v>27</v>
      </c>
      <c r="G69" t="s">
        <v>25</v>
      </c>
      <c r="H69" t="s">
        <v>15</v>
      </c>
      <c r="I69">
        <v>1</v>
      </c>
      <c r="J69" t="s">
        <v>22</v>
      </c>
      <c r="K69" t="s">
        <v>17</v>
      </c>
      <c r="L69">
        <v>33</v>
      </c>
      <c r="M69" t="str" cm="1">
        <f t="array" ref="M69">_xlfn.IFS(L69&gt;49,"Old",L69&lt;18,"Kid",AND(L69&gt;=18,L69&lt;=50),"Young")</f>
        <v>Young</v>
      </c>
      <c r="N69" t="s">
        <v>15</v>
      </c>
    </row>
    <row r="70" spans="1:14" x14ac:dyDescent="0.3">
      <c r="A70">
        <v>14813</v>
      </c>
      <c r="B70" t="s">
        <v>37</v>
      </c>
      <c r="C70" t="s">
        <v>38</v>
      </c>
      <c r="D70" s="3">
        <v>20000</v>
      </c>
      <c r="E70">
        <v>4</v>
      </c>
      <c r="F70" t="s">
        <v>27</v>
      </c>
      <c r="G70" t="s">
        <v>25</v>
      </c>
      <c r="H70" t="s">
        <v>15</v>
      </c>
      <c r="I70">
        <v>1</v>
      </c>
      <c r="J70" t="s">
        <v>16</v>
      </c>
      <c r="K70" t="s">
        <v>17</v>
      </c>
      <c r="L70">
        <v>43</v>
      </c>
      <c r="M70" t="str" cm="1">
        <f t="array" ref="M70">_xlfn.IFS(L70&gt;49,"Old",L70&lt;18,"Kid",AND(L70&gt;=18,L70&lt;=50),"Young")</f>
        <v>Young</v>
      </c>
      <c r="N70" t="s">
        <v>15</v>
      </c>
    </row>
    <row r="71" spans="1:14" x14ac:dyDescent="0.3">
      <c r="A71">
        <v>16438</v>
      </c>
      <c r="B71" t="s">
        <v>36</v>
      </c>
      <c r="C71" t="s">
        <v>38</v>
      </c>
      <c r="D71" s="3">
        <v>10000</v>
      </c>
      <c r="E71">
        <v>0</v>
      </c>
      <c r="F71" t="s">
        <v>29</v>
      </c>
      <c r="G71" t="s">
        <v>25</v>
      </c>
      <c r="H71" t="s">
        <v>18</v>
      </c>
      <c r="I71">
        <v>2</v>
      </c>
      <c r="J71" t="s">
        <v>16</v>
      </c>
      <c r="K71" t="s">
        <v>17</v>
      </c>
      <c r="L71">
        <v>30</v>
      </c>
      <c r="M71" t="str" cm="1">
        <f t="array" ref="M71">_xlfn.IFS(L71&gt;49,"Old",L71&lt;18,"Kid",AND(L71&gt;=18,L71&lt;=50),"Young")</f>
        <v>Young</v>
      </c>
      <c r="N71" t="s">
        <v>18</v>
      </c>
    </row>
    <row r="72" spans="1:14" x14ac:dyDescent="0.3">
      <c r="A72">
        <v>14238</v>
      </c>
      <c r="B72" t="s">
        <v>36</v>
      </c>
      <c r="C72" t="s">
        <v>39</v>
      </c>
      <c r="D72" s="3">
        <v>120000</v>
      </c>
      <c r="E72">
        <v>0</v>
      </c>
      <c r="F72" t="s">
        <v>29</v>
      </c>
      <c r="G72" t="s">
        <v>21</v>
      </c>
      <c r="H72" t="s">
        <v>15</v>
      </c>
      <c r="I72">
        <v>4</v>
      </c>
      <c r="J72" t="s">
        <v>46</v>
      </c>
      <c r="K72" t="s">
        <v>24</v>
      </c>
      <c r="L72">
        <v>36</v>
      </c>
      <c r="M72" t="str" cm="1">
        <f t="array" ref="M72">_xlfn.IFS(L72&gt;49,"Old",L72&lt;18,"Kid",AND(L72&gt;=18,L72&lt;=50),"Young")</f>
        <v>Young</v>
      </c>
      <c r="N72" t="s">
        <v>15</v>
      </c>
    </row>
    <row r="73" spans="1:14" x14ac:dyDescent="0.3">
      <c r="A73">
        <v>16200</v>
      </c>
      <c r="B73" t="s">
        <v>37</v>
      </c>
      <c r="C73" t="s">
        <v>38</v>
      </c>
      <c r="D73" s="3">
        <v>10000</v>
      </c>
      <c r="E73">
        <v>0</v>
      </c>
      <c r="F73" t="s">
        <v>29</v>
      </c>
      <c r="G73" t="s">
        <v>25</v>
      </c>
      <c r="H73" t="s">
        <v>18</v>
      </c>
      <c r="I73">
        <v>2</v>
      </c>
      <c r="J73" t="s">
        <v>16</v>
      </c>
      <c r="K73" t="s">
        <v>17</v>
      </c>
      <c r="L73">
        <v>35</v>
      </c>
      <c r="M73" t="str" cm="1">
        <f t="array" ref="M73">_xlfn.IFS(L73&gt;49,"Old",L73&lt;18,"Kid",AND(L73&gt;=18,L73&lt;=50),"Young")</f>
        <v>Young</v>
      </c>
      <c r="N73" t="s">
        <v>18</v>
      </c>
    </row>
    <row r="74" spans="1:14" x14ac:dyDescent="0.3">
      <c r="A74">
        <v>24857</v>
      </c>
      <c r="B74" t="s">
        <v>36</v>
      </c>
      <c r="C74" t="s">
        <v>38</v>
      </c>
      <c r="D74" s="3">
        <v>130000</v>
      </c>
      <c r="E74">
        <v>3</v>
      </c>
      <c r="F74" t="s">
        <v>27</v>
      </c>
      <c r="G74" t="s">
        <v>21</v>
      </c>
      <c r="H74" t="s">
        <v>15</v>
      </c>
      <c r="I74">
        <v>4</v>
      </c>
      <c r="J74" t="s">
        <v>16</v>
      </c>
      <c r="K74" t="s">
        <v>17</v>
      </c>
      <c r="L74">
        <v>52</v>
      </c>
      <c r="M74" t="str" cm="1">
        <f t="array" ref="M74">_xlfn.IFS(L74&gt;49,"Old",L74&lt;18,"Kid",AND(L74&gt;=18,L74&lt;=50),"Young")</f>
        <v>Old</v>
      </c>
      <c r="N74" t="s">
        <v>18</v>
      </c>
    </row>
    <row r="75" spans="1:14" x14ac:dyDescent="0.3">
      <c r="A75">
        <v>26956</v>
      </c>
      <c r="B75" t="s">
        <v>37</v>
      </c>
      <c r="C75" t="s">
        <v>38</v>
      </c>
      <c r="D75" s="3">
        <v>20000</v>
      </c>
      <c r="E75">
        <v>0</v>
      </c>
      <c r="F75" t="s">
        <v>19</v>
      </c>
      <c r="G75" t="s">
        <v>25</v>
      </c>
      <c r="H75" t="s">
        <v>18</v>
      </c>
      <c r="I75">
        <v>1</v>
      </c>
      <c r="J75" t="s">
        <v>22</v>
      </c>
      <c r="K75" t="s">
        <v>17</v>
      </c>
      <c r="L75">
        <v>36</v>
      </c>
      <c r="M75" t="str" cm="1">
        <f t="array" ref="M75">_xlfn.IFS(L75&gt;49,"Old",L75&lt;18,"Kid",AND(L75&gt;=18,L75&lt;=50),"Young")</f>
        <v>Young</v>
      </c>
      <c r="N75" t="s">
        <v>15</v>
      </c>
    </row>
    <row r="76" spans="1:14" x14ac:dyDescent="0.3">
      <c r="A76">
        <v>14517</v>
      </c>
      <c r="B76" t="s">
        <v>36</v>
      </c>
      <c r="C76" t="s">
        <v>38</v>
      </c>
      <c r="D76" s="3">
        <v>20000</v>
      </c>
      <c r="E76">
        <v>3</v>
      </c>
      <c r="F76" t="s">
        <v>27</v>
      </c>
      <c r="G76" t="s">
        <v>14</v>
      </c>
      <c r="H76" t="s">
        <v>18</v>
      </c>
      <c r="I76">
        <v>2</v>
      </c>
      <c r="J76" t="s">
        <v>26</v>
      </c>
      <c r="K76" t="s">
        <v>24</v>
      </c>
      <c r="L76">
        <v>62</v>
      </c>
      <c r="M76" t="str" cm="1">
        <f t="array" ref="M76">_xlfn.IFS(L76&gt;49,"Old",L76&lt;18,"Kid",AND(L76&gt;=18,L76&lt;=50),"Young")</f>
        <v>Old</v>
      </c>
      <c r="N76" t="s">
        <v>18</v>
      </c>
    </row>
    <row r="77" spans="1:14" x14ac:dyDescent="0.3">
      <c r="A77">
        <v>12678</v>
      </c>
      <c r="B77" t="s">
        <v>37</v>
      </c>
      <c r="C77" t="s">
        <v>38</v>
      </c>
      <c r="D77" s="3">
        <v>130000</v>
      </c>
      <c r="E77">
        <v>4</v>
      </c>
      <c r="F77" t="s">
        <v>27</v>
      </c>
      <c r="G77" t="s">
        <v>28</v>
      </c>
      <c r="H77" t="s">
        <v>15</v>
      </c>
      <c r="I77">
        <v>4</v>
      </c>
      <c r="J77" t="s">
        <v>16</v>
      </c>
      <c r="K77" t="s">
        <v>24</v>
      </c>
      <c r="L77">
        <v>31</v>
      </c>
      <c r="M77" t="str" cm="1">
        <f t="array" ref="M77">_xlfn.IFS(L77&gt;49,"Old",L77&lt;18,"Kid",AND(L77&gt;=18,L77&lt;=50),"Young")</f>
        <v>Young</v>
      </c>
      <c r="N77" t="s">
        <v>18</v>
      </c>
    </row>
    <row r="78" spans="1:14" x14ac:dyDescent="0.3">
      <c r="A78">
        <v>16188</v>
      </c>
      <c r="B78" t="s">
        <v>37</v>
      </c>
      <c r="C78" t="s">
        <v>38</v>
      </c>
      <c r="D78" s="3">
        <v>20000</v>
      </c>
      <c r="E78">
        <v>0</v>
      </c>
      <c r="F78" t="s">
        <v>29</v>
      </c>
      <c r="G78" t="s">
        <v>25</v>
      </c>
      <c r="H78" t="s">
        <v>18</v>
      </c>
      <c r="I78">
        <v>2</v>
      </c>
      <c r="J78" t="s">
        <v>26</v>
      </c>
      <c r="K78" t="s">
        <v>17</v>
      </c>
      <c r="L78">
        <v>26</v>
      </c>
      <c r="M78" t="str" cm="1">
        <f t="array" ref="M78">_xlfn.IFS(L78&gt;49,"Old",L78&lt;18,"Kid",AND(L78&gt;=18,L78&lt;=50),"Young")</f>
        <v>Young</v>
      </c>
      <c r="N78" t="s">
        <v>18</v>
      </c>
    </row>
    <row r="79" spans="1:14" x14ac:dyDescent="0.3">
      <c r="A79">
        <v>27969</v>
      </c>
      <c r="B79" t="s">
        <v>36</v>
      </c>
      <c r="C79" t="s">
        <v>39</v>
      </c>
      <c r="D79" s="3">
        <v>80000</v>
      </c>
      <c r="E79">
        <v>0</v>
      </c>
      <c r="F79" t="s">
        <v>13</v>
      </c>
      <c r="G79" t="s">
        <v>21</v>
      </c>
      <c r="H79" t="s">
        <v>15</v>
      </c>
      <c r="I79">
        <v>2</v>
      </c>
      <c r="J79" t="s">
        <v>46</v>
      </c>
      <c r="K79" t="s">
        <v>24</v>
      </c>
      <c r="L79">
        <v>29</v>
      </c>
      <c r="M79" t="str" cm="1">
        <f t="array" ref="M79">_xlfn.IFS(L79&gt;49,"Old",L79&lt;18,"Kid",AND(L79&gt;=18,L79&lt;=50),"Young")</f>
        <v>Young</v>
      </c>
      <c r="N79" t="s">
        <v>15</v>
      </c>
    </row>
    <row r="80" spans="1:14" x14ac:dyDescent="0.3">
      <c r="A80">
        <v>15752</v>
      </c>
      <c r="B80" t="s">
        <v>36</v>
      </c>
      <c r="C80" t="s">
        <v>39</v>
      </c>
      <c r="D80" s="3">
        <v>80000</v>
      </c>
      <c r="E80">
        <v>2</v>
      </c>
      <c r="F80" t="s">
        <v>27</v>
      </c>
      <c r="G80" t="s">
        <v>14</v>
      </c>
      <c r="H80" t="s">
        <v>18</v>
      </c>
      <c r="I80">
        <v>2</v>
      </c>
      <c r="J80" t="s">
        <v>26</v>
      </c>
      <c r="K80" t="s">
        <v>24</v>
      </c>
      <c r="L80">
        <v>50</v>
      </c>
      <c r="M80" t="str" cm="1">
        <f t="array" ref="M80">_xlfn.IFS(L80&gt;49,"Old",L80&lt;18,"Kid",AND(L80&gt;=18,L80&lt;=50),"Young")</f>
        <v>Old</v>
      </c>
      <c r="N80" t="s">
        <v>15</v>
      </c>
    </row>
    <row r="81" spans="1:14" x14ac:dyDescent="0.3">
      <c r="A81">
        <v>27745</v>
      </c>
      <c r="B81" t="s">
        <v>37</v>
      </c>
      <c r="C81" t="s">
        <v>39</v>
      </c>
      <c r="D81" s="3">
        <v>40000</v>
      </c>
      <c r="E81">
        <v>2</v>
      </c>
      <c r="F81" t="s">
        <v>13</v>
      </c>
      <c r="G81" t="s">
        <v>28</v>
      </c>
      <c r="H81" t="s">
        <v>15</v>
      </c>
      <c r="I81">
        <v>2</v>
      </c>
      <c r="J81" t="s">
        <v>23</v>
      </c>
      <c r="K81" t="s">
        <v>24</v>
      </c>
      <c r="L81">
        <v>63</v>
      </c>
      <c r="M81" t="str" cm="1">
        <f t="array" ref="M81">_xlfn.IFS(L81&gt;49,"Old",L81&lt;18,"Kid",AND(L81&gt;=18,L81&lt;=50),"Young")</f>
        <v>Old</v>
      </c>
      <c r="N81" t="s">
        <v>15</v>
      </c>
    </row>
    <row r="82" spans="1:14" x14ac:dyDescent="0.3">
      <c r="A82">
        <v>20828</v>
      </c>
      <c r="B82" t="s">
        <v>36</v>
      </c>
      <c r="C82" t="s">
        <v>38</v>
      </c>
      <c r="D82" s="3">
        <v>30000</v>
      </c>
      <c r="E82">
        <v>4</v>
      </c>
      <c r="F82" t="s">
        <v>31</v>
      </c>
      <c r="G82" t="s">
        <v>20</v>
      </c>
      <c r="H82" t="s">
        <v>15</v>
      </c>
      <c r="I82">
        <v>0</v>
      </c>
      <c r="J82" t="s">
        <v>16</v>
      </c>
      <c r="K82" t="s">
        <v>17</v>
      </c>
      <c r="L82">
        <v>45</v>
      </c>
      <c r="M82" t="str" cm="1">
        <f t="array" ref="M82">_xlfn.IFS(L82&gt;49,"Old",L82&lt;18,"Kid",AND(L82&gt;=18,L82&lt;=50),"Young")</f>
        <v>Young</v>
      </c>
      <c r="N82" t="s">
        <v>15</v>
      </c>
    </row>
    <row r="83" spans="1:14" x14ac:dyDescent="0.3">
      <c r="A83">
        <v>19461</v>
      </c>
      <c r="B83" t="s">
        <v>37</v>
      </c>
      <c r="C83" t="s">
        <v>38</v>
      </c>
      <c r="D83" s="3">
        <v>10000</v>
      </c>
      <c r="E83">
        <v>4</v>
      </c>
      <c r="F83" t="s">
        <v>29</v>
      </c>
      <c r="G83" t="s">
        <v>25</v>
      </c>
      <c r="H83" t="s">
        <v>15</v>
      </c>
      <c r="I83">
        <v>2</v>
      </c>
      <c r="J83" t="s">
        <v>16</v>
      </c>
      <c r="K83" t="s">
        <v>17</v>
      </c>
      <c r="L83">
        <v>40</v>
      </c>
      <c r="M83" t="str" cm="1">
        <f t="array" ref="M83">_xlfn.IFS(L83&gt;49,"Old",L83&lt;18,"Kid",AND(L83&gt;=18,L83&lt;=50),"Young")</f>
        <v>Young</v>
      </c>
      <c r="N83" t="s">
        <v>18</v>
      </c>
    </row>
    <row r="84" spans="1:14" x14ac:dyDescent="0.3">
      <c r="A84">
        <v>26941</v>
      </c>
      <c r="B84" t="s">
        <v>36</v>
      </c>
      <c r="C84" t="s">
        <v>39</v>
      </c>
      <c r="D84" s="3">
        <v>30000</v>
      </c>
      <c r="E84">
        <v>0</v>
      </c>
      <c r="F84" t="s">
        <v>13</v>
      </c>
      <c r="G84" t="s">
        <v>20</v>
      </c>
      <c r="H84" t="s">
        <v>15</v>
      </c>
      <c r="I84">
        <v>0</v>
      </c>
      <c r="J84" t="s">
        <v>16</v>
      </c>
      <c r="K84" t="s">
        <v>17</v>
      </c>
      <c r="L84">
        <v>47</v>
      </c>
      <c r="M84" t="str" cm="1">
        <f t="array" ref="M84">_xlfn.IFS(L84&gt;49,"Old",L84&lt;18,"Kid",AND(L84&gt;=18,L84&lt;=50),"Young")</f>
        <v>Young</v>
      </c>
      <c r="N84" t="s">
        <v>15</v>
      </c>
    </row>
    <row r="85" spans="1:14" x14ac:dyDescent="0.3">
      <c r="A85">
        <v>28412</v>
      </c>
      <c r="B85" t="s">
        <v>37</v>
      </c>
      <c r="C85" t="s">
        <v>39</v>
      </c>
      <c r="D85" s="3">
        <v>20000</v>
      </c>
      <c r="E85">
        <v>0</v>
      </c>
      <c r="F85" t="s">
        <v>27</v>
      </c>
      <c r="G85" t="s">
        <v>25</v>
      </c>
      <c r="H85" t="s">
        <v>18</v>
      </c>
      <c r="I85">
        <v>1</v>
      </c>
      <c r="J85" t="s">
        <v>22</v>
      </c>
      <c r="K85" t="s">
        <v>17</v>
      </c>
      <c r="L85">
        <v>29</v>
      </c>
      <c r="M85" t="str" cm="1">
        <f t="array" ref="M85">_xlfn.IFS(L85&gt;49,"Old",L85&lt;18,"Kid",AND(L85&gt;=18,L85&lt;=50),"Young")</f>
        <v>Young</v>
      </c>
      <c r="N85" t="s">
        <v>18</v>
      </c>
    </row>
    <row r="86" spans="1:14" x14ac:dyDescent="0.3">
      <c r="A86">
        <v>24485</v>
      </c>
      <c r="B86" t="s">
        <v>37</v>
      </c>
      <c r="C86" t="s">
        <v>39</v>
      </c>
      <c r="D86" s="3">
        <v>40000</v>
      </c>
      <c r="E86">
        <v>2</v>
      </c>
      <c r="F86" t="s">
        <v>13</v>
      </c>
      <c r="G86" t="s">
        <v>28</v>
      </c>
      <c r="H86" t="s">
        <v>18</v>
      </c>
      <c r="I86">
        <v>1</v>
      </c>
      <c r="J86" t="s">
        <v>23</v>
      </c>
      <c r="K86" t="s">
        <v>24</v>
      </c>
      <c r="L86">
        <v>52</v>
      </c>
      <c r="M86" t="str" cm="1">
        <f t="array" ref="M86">_xlfn.IFS(L86&gt;49,"Old",L86&lt;18,"Kid",AND(L86&gt;=18,L86&lt;=50),"Young")</f>
        <v>Old</v>
      </c>
      <c r="N86" t="s">
        <v>15</v>
      </c>
    </row>
    <row r="87" spans="1:14" x14ac:dyDescent="0.3">
      <c r="A87">
        <v>16514</v>
      </c>
      <c r="B87" t="s">
        <v>37</v>
      </c>
      <c r="C87" t="s">
        <v>39</v>
      </c>
      <c r="D87" s="3">
        <v>10000</v>
      </c>
      <c r="E87">
        <v>0</v>
      </c>
      <c r="F87" t="s">
        <v>19</v>
      </c>
      <c r="G87" t="s">
        <v>25</v>
      </c>
      <c r="H87" t="s">
        <v>15</v>
      </c>
      <c r="I87">
        <v>1</v>
      </c>
      <c r="J87" t="s">
        <v>26</v>
      </c>
      <c r="K87" t="s">
        <v>24</v>
      </c>
      <c r="L87">
        <v>26</v>
      </c>
      <c r="M87" t="str" cm="1">
        <f t="array" ref="M87">_xlfn.IFS(L87&gt;49,"Old",L87&lt;18,"Kid",AND(L87&gt;=18,L87&lt;=50),"Young")</f>
        <v>Young</v>
      </c>
      <c r="N87" t="s">
        <v>15</v>
      </c>
    </row>
    <row r="88" spans="1:14" x14ac:dyDescent="0.3">
      <c r="A88">
        <v>17191</v>
      </c>
      <c r="B88" t="s">
        <v>37</v>
      </c>
      <c r="C88" t="s">
        <v>39</v>
      </c>
      <c r="D88" s="3">
        <v>130000</v>
      </c>
      <c r="E88">
        <v>3</v>
      </c>
      <c r="F88" t="s">
        <v>19</v>
      </c>
      <c r="G88" t="s">
        <v>21</v>
      </c>
      <c r="H88" t="s">
        <v>18</v>
      </c>
      <c r="I88">
        <v>3</v>
      </c>
      <c r="J88" t="s">
        <v>16</v>
      </c>
      <c r="K88" t="s">
        <v>17</v>
      </c>
      <c r="L88">
        <v>51</v>
      </c>
      <c r="M88" t="str" cm="1">
        <f t="array" ref="M88">_xlfn.IFS(L88&gt;49,"Old",L88&lt;18,"Kid",AND(L88&gt;=18,L88&lt;=50),"Young")</f>
        <v>Old</v>
      </c>
      <c r="N88" t="s">
        <v>15</v>
      </c>
    </row>
    <row r="89" spans="1:14" x14ac:dyDescent="0.3">
      <c r="A89">
        <v>19608</v>
      </c>
      <c r="B89" t="s">
        <v>36</v>
      </c>
      <c r="C89" t="s">
        <v>39</v>
      </c>
      <c r="D89" s="3">
        <v>80000</v>
      </c>
      <c r="E89">
        <v>5</v>
      </c>
      <c r="F89" t="s">
        <v>13</v>
      </c>
      <c r="G89" t="s">
        <v>21</v>
      </c>
      <c r="H89" t="s">
        <v>15</v>
      </c>
      <c r="I89">
        <v>4</v>
      </c>
      <c r="J89" t="s">
        <v>26</v>
      </c>
      <c r="K89" t="s">
        <v>24</v>
      </c>
      <c r="L89">
        <v>40</v>
      </c>
      <c r="M89" t="str" cm="1">
        <f t="array" ref="M89">_xlfn.IFS(L89&gt;49,"Old",L89&lt;18,"Kid",AND(L89&gt;=18,L89&lt;=50),"Young")</f>
        <v>Young</v>
      </c>
      <c r="N89" t="s">
        <v>18</v>
      </c>
    </row>
    <row r="90" spans="1:14" x14ac:dyDescent="0.3">
      <c r="A90">
        <v>24119</v>
      </c>
      <c r="B90" t="s">
        <v>37</v>
      </c>
      <c r="C90" t="s">
        <v>39</v>
      </c>
      <c r="D90" s="3">
        <v>30000</v>
      </c>
      <c r="E90">
        <v>0</v>
      </c>
      <c r="F90" t="s">
        <v>19</v>
      </c>
      <c r="G90" t="s">
        <v>20</v>
      </c>
      <c r="H90" t="s">
        <v>18</v>
      </c>
      <c r="I90">
        <v>1</v>
      </c>
      <c r="J90" t="s">
        <v>22</v>
      </c>
      <c r="K90" t="s">
        <v>17</v>
      </c>
      <c r="L90">
        <v>29</v>
      </c>
      <c r="M90" t="str" cm="1">
        <f t="array" ref="M90">_xlfn.IFS(L90&gt;49,"Old",L90&lt;18,"Kid",AND(L90&gt;=18,L90&lt;=50),"Young")</f>
        <v>Young</v>
      </c>
      <c r="N90" t="s">
        <v>18</v>
      </c>
    </row>
    <row r="91" spans="1:14" x14ac:dyDescent="0.3">
      <c r="A91">
        <v>25458</v>
      </c>
      <c r="B91" t="s">
        <v>36</v>
      </c>
      <c r="C91" t="s">
        <v>39</v>
      </c>
      <c r="D91" s="3">
        <v>20000</v>
      </c>
      <c r="E91">
        <v>1</v>
      </c>
      <c r="F91" t="s">
        <v>27</v>
      </c>
      <c r="G91" t="s">
        <v>25</v>
      </c>
      <c r="H91" t="s">
        <v>18</v>
      </c>
      <c r="I91">
        <v>1</v>
      </c>
      <c r="J91" t="s">
        <v>26</v>
      </c>
      <c r="K91" t="s">
        <v>17</v>
      </c>
      <c r="L91">
        <v>40</v>
      </c>
      <c r="M91" t="str" cm="1">
        <f t="array" ref="M91">_xlfn.IFS(L91&gt;49,"Old",L91&lt;18,"Kid",AND(L91&gt;=18,L91&lt;=50),"Young")</f>
        <v>Young</v>
      </c>
      <c r="N91" t="s">
        <v>15</v>
      </c>
    </row>
    <row r="92" spans="1:14" x14ac:dyDescent="0.3">
      <c r="A92">
        <v>26886</v>
      </c>
      <c r="B92" t="s">
        <v>37</v>
      </c>
      <c r="C92" t="s">
        <v>38</v>
      </c>
      <c r="D92" s="3">
        <v>30000</v>
      </c>
      <c r="E92">
        <v>0</v>
      </c>
      <c r="F92" t="s">
        <v>19</v>
      </c>
      <c r="G92" t="s">
        <v>20</v>
      </c>
      <c r="H92" t="s">
        <v>18</v>
      </c>
      <c r="I92">
        <v>1</v>
      </c>
      <c r="J92" t="s">
        <v>16</v>
      </c>
      <c r="K92" t="s">
        <v>17</v>
      </c>
      <c r="L92">
        <v>29</v>
      </c>
      <c r="M92" t="str" cm="1">
        <f t="array" ref="M92">_xlfn.IFS(L92&gt;49,"Old",L92&lt;18,"Kid",AND(L92&gt;=18,L92&lt;=50),"Young")</f>
        <v>Young</v>
      </c>
      <c r="N92" t="s">
        <v>15</v>
      </c>
    </row>
    <row r="93" spans="1:14" x14ac:dyDescent="0.3">
      <c r="A93">
        <v>28436</v>
      </c>
      <c r="B93" t="s">
        <v>37</v>
      </c>
      <c r="C93" t="s">
        <v>39</v>
      </c>
      <c r="D93" s="3">
        <v>30000</v>
      </c>
      <c r="E93">
        <v>0</v>
      </c>
      <c r="F93" t="s">
        <v>19</v>
      </c>
      <c r="G93" t="s">
        <v>20</v>
      </c>
      <c r="H93" t="s">
        <v>18</v>
      </c>
      <c r="I93">
        <v>1</v>
      </c>
      <c r="J93" t="s">
        <v>16</v>
      </c>
      <c r="K93" t="s">
        <v>17</v>
      </c>
      <c r="L93">
        <v>30</v>
      </c>
      <c r="M93" t="str" cm="1">
        <f t="array" ref="M93">_xlfn.IFS(L93&gt;49,"Old",L93&lt;18,"Kid",AND(L93&gt;=18,L93&lt;=50),"Young")</f>
        <v>Young</v>
      </c>
      <c r="N93" t="s">
        <v>15</v>
      </c>
    </row>
    <row r="94" spans="1:14" x14ac:dyDescent="0.3">
      <c r="A94">
        <v>19562</v>
      </c>
      <c r="B94" t="s">
        <v>37</v>
      </c>
      <c r="C94" t="s">
        <v>38</v>
      </c>
      <c r="D94" s="3">
        <v>60000</v>
      </c>
      <c r="E94">
        <v>2</v>
      </c>
      <c r="F94" t="s">
        <v>13</v>
      </c>
      <c r="G94" t="s">
        <v>21</v>
      </c>
      <c r="H94" t="s">
        <v>15</v>
      </c>
      <c r="I94">
        <v>1</v>
      </c>
      <c r="J94" t="s">
        <v>22</v>
      </c>
      <c r="K94" t="s">
        <v>24</v>
      </c>
      <c r="L94">
        <v>37</v>
      </c>
      <c r="M94" t="str" cm="1">
        <f t="array" ref="M94">_xlfn.IFS(L94&gt;49,"Old",L94&lt;18,"Kid",AND(L94&gt;=18,L94&lt;=50),"Young")</f>
        <v>Young</v>
      </c>
      <c r="N94" t="s">
        <v>15</v>
      </c>
    </row>
    <row r="95" spans="1:14" x14ac:dyDescent="0.3">
      <c r="A95">
        <v>15608</v>
      </c>
      <c r="B95" t="s">
        <v>37</v>
      </c>
      <c r="C95" t="s">
        <v>38</v>
      </c>
      <c r="D95" s="3">
        <v>30000</v>
      </c>
      <c r="E95">
        <v>0</v>
      </c>
      <c r="F95" t="s">
        <v>19</v>
      </c>
      <c r="G95" t="s">
        <v>20</v>
      </c>
      <c r="H95" t="s">
        <v>18</v>
      </c>
      <c r="I95">
        <v>1</v>
      </c>
      <c r="J95" t="s">
        <v>22</v>
      </c>
      <c r="K95" t="s">
        <v>17</v>
      </c>
      <c r="L95">
        <v>33</v>
      </c>
      <c r="M95" t="str" cm="1">
        <f t="array" ref="M95">_xlfn.IFS(L95&gt;49,"Old",L95&lt;18,"Kid",AND(L95&gt;=18,L95&lt;=50),"Young")</f>
        <v>Young</v>
      </c>
      <c r="N95" t="s">
        <v>18</v>
      </c>
    </row>
    <row r="96" spans="1:14" x14ac:dyDescent="0.3">
      <c r="A96">
        <v>16487</v>
      </c>
      <c r="B96" t="s">
        <v>37</v>
      </c>
      <c r="C96" t="s">
        <v>38</v>
      </c>
      <c r="D96" s="3">
        <v>30000</v>
      </c>
      <c r="E96">
        <v>3</v>
      </c>
      <c r="F96" t="s">
        <v>27</v>
      </c>
      <c r="G96" t="s">
        <v>14</v>
      </c>
      <c r="H96" t="s">
        <v>15</v>
      </c>
      <c r="I96">
        <v>2</v>
      </c>
      <c r="J96" t="s">
        <v>23</v>
      </c>
      <c r="K96" t="s">
        <v>24</v>
      </c>
      <c r="L96">
        <v>55</v>
      </c>
      <c r="M96" t="str" cm="1">
        <f t="array" ref="M96">_xlfn.IFS(L96&gt;49,"Old",L96&lt;18,"Kid",AND(L96&gt;=18,L96&lt;=50),"Young")</f>
        <v>Old</v>
      </c>
      <c r="N96" t="s">
        <v>18</v>
      </c>
    </row>
    <row r="97" spans="1:14" x14ac:dyDescent="0.3">
      <c r="A97">
        <v>17197</v>
      </c>
      <c r="B97" t="s">
        <v>37</v>
      </c>
      <c r="C97" t="s">
        <v>38</v>
      </c>
      <c r="D97" s="3">
        <v>90000</v>
      </c>
      <c r="E97">
        <v>5</v>
      </c>
      <c r="F97" t="s">
        <v>19</v>
      </c>
      <c r="G97" t="s">
        <v>21</v>
      </c>
      <c r="H97" t="s">
        <v>15</v>
      </c>
      <c r="I97">
        <v>2</v>
      </c>
      <c r="J97" t="s">
        <v>46</v>
      </c>
      <c r="K97" t="s">
        <v>17</v>
      </c>
      <c r="L97">
        <v>62</v>
      </c>
      <c r="M97" t="str" cm="1">
        <f t="array" ref="M97">_xlfn.IFS(L97&gt;49,"Old",L97&lt;18,"Kid",AND(L97&gt;=18,L97&lt;=50),"Young")</f>
        <v>Old</v>
      </c>
      <c r="N97" t="s">
        <v>18</v>
      </c>
    </row>
    <row r="98" spans="1:14" x14ac:dyDescent="0.3">
      <c r="A98">
        <v>12507</v>
      </c>
      <c r="B98" t="s">
        <v>36</v>
      </c>
      <c r="C98" t="s">
        <v>39</v>
      </c>
      <c r="D98" s="3">
        <v>30000</v>
      </c>
      <c r="E98">
        <v>1</v>
      </c>
      <c r="F98" t="s">
        <v>19</v>
      </c>
      <c r="G98" t="s">
        <v>20</v>
      </c>
      <c r="H98" t="s">
        <v>15</v>
      </c>
      <c r="I98">
        <v>1</v>
      </c>
      <c r="J98" t="s">
        <v>16</v>
      </c>
      <c r="K98" t="s">
        <v>17</v>
      </c>
      <c r="L98">
        <v>43</v>
      </c>
      <c r="M98" t="str" cm="1">
        <f t="array" ref="M98">_xlfn.IFS(L98&gt;49,"Old",L98&lt;18,"Kid",AND(L98&gt;=18,L98&lt;=50),"Young")</f>
        <v>Young</v>
      </c>
      <c r="N98" t="s">
        <v>18</v>
      </c>
    </row>
    <row r="99" spans="1:14" x14ac:dyDescent="0.3">
      <c r="A99">
        <v>23940</v>
      </c>
      <c r="B99" t="s">
        <v>36</v>
      </c>
      <c r="C99" t="s">
        <v>39</v>
      </c>
      <c r="D99" s="3">
        <v>40000</v>
      </c>
      <c r="E99">
        <v>1</v>
      </c>
      <c r="F99" t="s">
        <v>13</v>
      </c>
      <c r="G99" t="s">
        <v>14</v>
      </c>
      <c r="H99" t="s">
        <v>15</v>
      </c>
      <c r="I99">
        <v>1</v>
      </c>
      <c r="J99" t="s">
        <v>16</v>
      </c>
      <c r="K99" t="s">
        <v>17</v>
      </c>
      <c r="L99">
        <v>44</v>
      </c>
      <c r="M99" t="str" cm="1">
        <f t="array" ref="M99">_xlfn.IFS(L99&gt;49,"Old",L99&lt;18,"Kid",AND(L99&gt;=18,L99&lt;=50),"Young")</f>
        <v>Young</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cm="1">
        <f t="array" ref="M100">_xlfn.IFS(L100&gt;49,"Old",L100&lt;18,"Kid",AND(L100&gt;=18,L100&lt;=50),"Young")</f>
        <v>Young</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cm="1">
        <f t="array" ref="M101">_xlfn.IFS(L101&gt;49,"Old",L101&lt;18,"Kid",AND(L101&gt;=18,L101&lt;=50),"Young")</f>
        <v>Young</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cm="1">
        <f t="array" ref="M102">_xlfn.IFS(L102&gt;49,"Old",L102&lt;18,"Kid",AND(L102&gt;=18,L102&lt;=50),"Young")</f>
        <v>Young</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cm="1">
        <f t="array" ref="M103">_xlfn.IFS(L103&gt;49,"Old",L103&lt;18,"Kid",AND(L103&gt;=18,L103&lt;=50),"Young")</f>
        <v>Young</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cm="1">
        <f t="array" ref="M104">_xlfn.IFS(L104&gt;49,"Old",L104&lt;18,"Kid",AND(L104&gt;=18,L104&lt;=50),"Young")</f>
        <v>Young</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cm="1">
        <f t="array" ref="M105">_xlfn.IFS(L105&gt;49,"Old",L105&lt;18,"Kid",AND(L105&gt;=18,L105&lt;=50),"Young")</f>
        <v>Young</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cm="1">
        <f t="array" ref="M106">_xlfn.IFS(L106&gt;49,"Old",L106&lt;18,"Kid",AND(L106&gt;=18,L106&lt;=50),"Young")</f>
        <v>Young</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cm="1">
        <f t="array" ref="M107">_xlfn.IFS(L107&gt;49,"Old",L107&lt;18,"Kid",AND(L107&gt;=18,L107&lt;=50),"Young")</f>
        <v>Young</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cm="1">
        <f t="array" ref="M108">_xlfn.IFS(L108&gt;49,"Old",L108&lt;18,"Kid",AND(L108&gt;=18,L108&lt;=50),"Young")</f>
        <v>Old</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cm="1">
        <f t="array" ref="M109">_xlfn.IFS(L109&gt;49,"Old",L109&lt;18,"Kid",AND(L109&gt;=18,L109&lt;=50),"Young")</f>
        <v>Old</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cm="1">
        <f t="array" ref="M110">_xlfn.IFS(L110&gt;49,"Old",L110&lt;18,"Kid",AND(L110&gt;=18,L110&lt;=50),"Young")</f>
        <v>Young</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cm="1">
        <f t="array" ref="M111">_xlfn.IFS(L111&gt;49,"Old",L111&lt;18,"Kid",AND(L111&gt;=18,L111&lt;=50),"Young")</f>
        <v>Young</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cm="1">
        <f t="array" ref="M112">_xlfn.IFS(L112&gt;49,"Old",L112&lt;18,"Kid",AND(L112&gt;=18,L112&lt;=50),"Young")</f>
        <v>Young</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cm="1">
        <f t="array" ref="M113">_xlfn.IFS(L113&gt;49,"Old",L113&lt;18,"Kid",AND(L113&gt;=18,L113&lt;=50),"Young")</f>
        <v>Young</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cm="1">
        <f t="array" ref="M114">_xlfn.IFS(L114&gt;49,"Old",L114&lt;18,"Kid",AND(L114&gt;=18,L114&lt;=50),"Young")</f>
        <v>Young</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cm="1">
        <f t="array" ref="M115">_xlfn.IFS(L115&gt;49,"Old",L115&lt;18,"Kid",AND(L115&gt;=18,L115&lt;=50),"Young")</f>
        <v>Young</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cm="1">
        <f t="array" ref="M116">_xlfn.IFS(L116&gt;49,"Old",L116&lt;18,"Kid",AND(L116&gt;=18,L116&lt;=50),"Young")</f>
        <v>Young</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cm="1">
        <f t="array" ref="M117">_xlfn.IFS(L117&gt;49,"Old",L117&lt;18,"Kid",AND(L117&gt;=18,L117&lt;=50),"Young")</f>
        <v>Young</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cm="1">
        <f t="array" ref="M118">_xlfn.IFS(L118&gt;49,"Old",L118&lt;18,"Kid",AND(L118&gt;=18,L118&lt;=50),"Young")</f>
        <v>Young</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cm="1">
        <f t="array" ref="M119">_xlfn.IFS(L119&gt;49,"Old",L119&lt;18,"Kid",AND(L119&gt;=18,L119&lt;=50),"Young")</f>
        <v>Young</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cm="1">
        <f t="array" ref="M120">_xlfn.IFS(L120&gt;49,"Old",L120&lt;18,"Kid",AND(L120&gt;=18,L120&lt;=50),"Young")</f>
        <v>Old</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cm="1">
        <f t="array" ref="M121">_xlfn.IFS(L121&gt;49,"Old",L121&lt;18,"Kid",AND(L121&gt;=18,L121&lt;=50),"Young")</f>
        <v>Young</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cm="1">
        <f t="array" ref="M122">_xlfn.IFS(L122&gt;49,"Old",L122&lt;18,"Kid",AND(L122&gt;=18,L122&lt;=50),"Young")</f>
        <v>Old</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cm="1">
        <f t="array" ref="M123">_xlfn.IFS(L123&gt;49,"Old",L123&lt;18,"Kid",AND(L123&gt;=18,L123&lt;=50),"Young")</f>
        <v>Young</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cm="1">
        <f t="array" ref="M124">_xlfn.IFS(L124&gt;49,"Old",L124&lt;18,"Kid",AND(L124&gt;=18,L124&lt;=50),"Young")</f>
        <v>Young</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cm="1">
        <f t="array" ref="M125">_xlfn.IFS(L125&gt;49,"Old",L125&lt;18,"Kid",AND(L125&gt;=18,L125&lt;=50),"Young")</f>
        <v>Old</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cm="1">
        <f t="array" ref="M126">_xlfn.IFS(L126&gt;49,"Old",L126&lt;18,"Kid",AND(L126&gt;=18,L126&lt;=50),"Young")</f>
        <v>Young</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cm="1">
        <f t="array" ref="M127">_xlfn.IFS(L127&gt;49,"Old",L127&lt;18,"Kid",AND(L127&gt;=18,L127&lt;=50),"Young")</f>
        <v>Young</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cm="1">
        <f t="array" ref="M128">_xlfn.IFS(L128&gt;49,"Old",L128&lt;18,"Kid",AND(L128&gt;=18,L128&lt;=50),"Young")</f>
        <v>Young</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cm="1">
        <f t="array" ref="M129">_xlfn.IFS(L129&gt;49,"Old",L129&lt;18,"Kid",AND(L129&gt;=18,L129&lt;=50),"Young")</f>
        <v>Young</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cm="1">
        <f t="array" ref="M130">_xlfn.IFS(L130&gt;49,"Old",L130&lt;18,"Kid",AND(L130&gt;=18,L130&lt;=50),"Young")</f>
        <v>Old</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cm="1">
        <f t="array" ref="M131">_xlfn.IFS(L131&gt;49,"Old",L131&lt;18,"Kid",AND(L131&gt;=18,L131&lt;=50),"Young")</f>
        <v>Young</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cm="1">
        <f t="array" ref="M132">_xlfn.IFS(L132&gt;49,"Old",L132&lt;18,"Kid",AND(L132&gt;=18,L132&lt;=50),"Young")</f>
        <v>Young</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cm="1">
        <f t="array" ref="M133">_xlfn.IFS(L133&gt;49,"Old",L133&lt;18,"Kid",AND(L133&gt;=18,L133&lt;=50),"Young")</f>
        <v>Old</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cm="1">
        <f t="array" ref="M134">_xlfn.IFS(L134&gt;49,"Old",L134&lt;18,"Kid",AND(L134&gt;=18,L134&lt;=50),"Young")</f>
        <v>Young</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cm="1">
        <f t="array" ref="M135">_xlfn.IFS(L135&gt;49,"Old",L135&lt;18,"Kid",AND(L135&gt;=18,L135&lt;=50),"Young")</f>
        <v>Old</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cm="1">
        <f t="array" ref="M136">_xlfn.IFS(L136&gt;49,"Old",L136&lt;18,"Kid",AND(L136&gt;=18,L136&lt;=50),"Young")</f>
        <v>Young</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cm="1">
        <f t="array" ref="M137">_xlfn.IFS(L137&gt;49,"Old",L137&lt;18,"Kid",AND(L137&gt;=18,L137&lt;=50),"Young")</f>
        <v>Old</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cm="1">
        <f t="array" ref="M138">_xlfn.IFS(L138&gt;49,"Old",L138&lt;18,"Kid",AND(L138&gt;=18,L138&lt;=50),"Young")</f>
        <v>Young</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cm="1">
        <f t="array" ref="M139">_xlfn.IFS(L139&gt;49,"Old",L139&lt;18,"Kid",AND(L139&gt;=18,L139&lt;=50),"Young")</f>
        <v>Young</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cm="1">
        <f t="array" ref="M140">_xlfn.IFS(L140&gt;49,"Old",L140&lt;18,"Kid",AND(L140&gt;=18,L140&lt;=50),"Young")</f>
        <v>Old</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cm="1">
        <f t="array" ref="M141">_xlfn.IFS(L141&gt;49,"Old",L141&lt;18,"Kid",AND(L141&gt;=18,L141&lt;=50),"Young")</f>
        <v>Old</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cm="1">
        <f t="array" ref="M142">_xlfn.IFS(L142&gt;49,"Old",L142&lt;18,"Kid",AND(L142&gt;=18,L142&lt;=50),"Young")</f>
        <v>Young</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cm="1">
        <f t="array" ref="M143">_xlfn.IFS(L143&gt;49,"Old",L143&lt;18,"Kid",AND(L143&gt;=18,L143&lt;=50),"Young")</f>
        <v>Young</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cm="1">
        <f t="array" ref="M144">_xlfn.IFS(L144&gt;49,"Old",L144&lt;18,"Kid",AND(L144&gt;=18,L144&lt;=50),"Young")</f>
        <v>Young</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cm="1">
        <f t="array" ref="M145">_xlfn.IFS(L145&gt;49,"Old",L145&lt;18,"Kid",AND(L145&gt;=18,L145&lt;=50),"Young")</f>
        <v>Young</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cm="1">
        <f t="array" ref="M146">_xlfn.IFS(L146&gt;49,"Old",L146&lt;18,"Kid",AND(L146&gt;=18,L146&lt;=50),"Young")</f>
        <v>Young</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cm="1">
        <f t="array" ref="M147">_xlfn.IFS(L147&gt;49,"Old",L147&lt;18,"Kid",AND(L147&gt;=18,L147&lt;=50),"Young")</f>
        <v>Young</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cm="1">
        <f t="array" ref="M148">_xlfn.IFS(L148&gt;49,"Old",L148&lt;18,"Kid",AND(L148&gt;=18,L148&lt;=50),"Young")</f>
        <v>Young</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cm="1">
        <f t="array" ref="M149">_xlfn.IFS(L149&gt;49,"Old",L149&lt;18,"Kid",AND(L149&gt;=18,L149&lt;=50),"Young")</f>
        <v>Young</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cm="1">
        <f t="array" ref="M150">_xlfn.IFS(L150&gt;49,"Old",L150&lt;18,"Kid",AND(L150&gt;=18,L150&lt;=50),"Young")</f>
        <v>Old</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cm="1">
        <f t="array" ref="M151">_xlfn.IFS(L151&gt;49,"Old",L151&lt;18,"Kid",AND(L151&gt;=18,L151&lt;=50),"Young")</f>
        <v>Young</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cm="1">
        <f t="array" ref="M152">_xlfn.IFS(L152&gt;49,"Old",L152&lt;18,"Kid",AND(L152&gt;=18,L152&lt;=50),"Young")</f>
        <v>Young</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cm="1">
        <f t="array" ref="M153">_xlfn.IFS(L153&gt;49,"Old",L153&lt;18,"Kid",AND(L153&gt;=18,L153&lt;=50),"Young")</f>
        <v>Young</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cm="1">
        <f t="array" ref="M154">_xlfn.IFS(L154&gt;49,"Old",L154&lt;18,"Kid",AND(L154&gt;=18,L154&lt;=50),"Young")</f>
        <v>Young</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cm="1">
        <f t="array" ref="M155">_xlfn.IFS(L155&gt;49,"Old",L155&lt;18,"Kid",AND(L155&gt;=18,L155&lt;=50),"Young")</f>
        <v>Young</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cm="1">
        <f t="array" ref="M156">_xlfn.IFS(L156&gt;49,"Old",L156&lt;18,"Kid",AND(L156&gt;=18,L156&lt;=50),"Young")</f>
        <v>Young</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cm="1">
        <f t="array" ref="M157">_xlfn.IFS(L157&gt;49,"Old",L157&lt;18,"Kid",AND(L157&gt;=18,L157&lt;=50),"Young")</f>
        <v>Young</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cm="1">
        <f t="array" ref="M158">_xlfn.IFS(L158&gt;49,"Old",L158&lt;18,"Kid",AND(L158&gt;=18,L158&lt;=50),"Young")</f>
        <v>Old</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cm="1">
        <f t="array" ref="M159">_xlfn.IFS(L159&gt;49,"Old",L159&lt;18,"Kid",AND(L159&gt;=18,L159&lt;=50),"Young")</f>
        <v>Old</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cm="1">
        <f t="array" ref="M160">_xlfn.IFS(L160&gt;49,"Old",L160&lt;18,"Kid",AND(L160&gt;=18,L160&lt;=50),"Young")</f>
        <v>Old</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cm="1">
        <f t="array" ref="M161">_xlfn.IFS(L161&gt;49,"Old",L161&lt;18,"Kid",AND(L161&gt;=18,L161&lt;=50),"Young")</f>
        <v>Young</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cm="1">
        <f t="array" ref="M162">_xlfn.IFS(L162&gt;49,"Old",L162&lt;18,"Kid",AND(L162&gt;=18,L162&lt;=50),"Young")</f>
        <v>Young</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cm="1">
        <f t="array" ref="M163">_xlfn.IFS(L163&gt;49,"Old",L163&lt;18,"Kid",AND(L163&gt;=18,L163&lt;=50),"Young")</f>
        <v>Young</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cm="1">
        <f t="array" ref="M164">_xlfn.IFS(L164&gt;49,"Old",L164&lt;18,"Kid",AND(L164&gt;=18,L164&lt;=50),"Young")</f>
        <v>Young</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cm="1">
        <f t="array" ref="M165">_xlfn.IFS(L165&gt;49,"Old",L165&lt;18,"Kid",AND(L165&gt;=18,L165&lt;=50),"Young")</f>
        <v>Old</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cm="1">
        <f t="array" ref="M166">_xlfn.IFS(L166&gt;49,"Old",L166&lt;18,"Kid",AND(L166&gt;=18,L166&lt;=50),"Young")</f>
        <v>Young</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cm="1">
        <f t="array" ref="M167">_xlfn.IFS(L167&gt;49,"Old",L167&lt;18,"Kid",AND(L167&gt;=18,L167&lt;=50),"Young")</f>
        <v>Young</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cm="1">
        <f t="array" ref="M168">_xlfn.IFS(L168&gt;49,"Old",L168&lt;18,"Kid",AND(L168&gt;=18,L168&lt;=50),"Young")</f>
        <v>Young</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cm="1">
        <f t="array" ref="M169">_xlfn.IFS(L169&gt;49,"Old",L169&lt;18,"Kid",AND(L169&gt;=18,L169&lt;=50),"Young")</f>
        <v>Young</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cm="1">
        <f t="array" ref="M170">_xlfn.IFS(L170&gt;49,"Old",L170&lt;18,"Kid",AND(L170&gt;=18,L170&lt;=50),"Young")</f>
        <v>Young</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cm="1">
        <f t="array" ref="M171">_xlfn.IFS(L171&gt;49,"Old",L171&lt;18,"Kid",AND(L171&gt;=18,L171&lt;=50),"Young")</f>
        <v>Young</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cm="1">
        <f t="array" ref="M172">_xlfn.IFS(L172&gt;49,"Old",L172&lt;18,"Kid",AND(L172&gt;=18,L172&lt;=50),"Young")</f>
        <v>Old</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cm="1">
        <f t="array" ref="M173">_xlfn.IFS(L173&gt;49,"Old",L173&lt;18,"Kid",AND(L173&gt;=18,L173&lt;=50),"Young")</f>
        <v>Old</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cm="1">
        <f t="array" ref="M174">_xlfn.IFS(L174&gt;49,"Old",L174&lt;18,"Kid",AND(L174&gt;=18,L174&lt;=50),"Young")</f>
        <v>Young</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cm="1">
        <f t="array" ref="M175">_xlfn.IFS(L175&gt;49,"Old",L175&lt;18,"Kid",AND(L175&gt;=18,L175&lt;=50),"Young")</f>
        <v>Young</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cm="1">
        <f t="array" ref="M176">_xlfn.IFS(L176&gt;49,"Old",L176&lt;18,"Kid",AND(L176&gt;=18,L176&lt;=50),"Young")</f>
        <v>Young</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cm="1">
        <f t="array" ref="M177">_xlfn.IFS(L177&gt;49,"Old",L177&lt;18,"Kid",AND(L177&gt;=18,L177&lt;=50),"Young")</f>
        <v>Old</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cm="1">
        <f t="array" ref="M178">_xlfn.IFS(L178&gt;49,"Old",L178&lt;18,"Kid",AND(L178&gt;=18,L178&lt;=50),"Young")</f>
        <v>Young</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cm="1">
        <f t="array" ref="M179">_xlfn.IFS(L179&gt;49,"Old",L179&lt;18,"Kid",AND(L179&gt;=18,L179&lt;=50),"Young")</f>
        <v>Young</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cm="1">
        <f t="array" ref="M180">_xlfn.IFS(L180&gt;49,"Old",L180&lt;18,"Kid",AND(L180&gt;=18,L180&lt;=50),"Young")</f>
        <v>Old</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cm="1">
        <f t="array" ref="M181">_xlfn.IFS(L181&gt;49,"Old",L181&lt;18,"Kid",AND(L181&gt;=18,L181&lt;=50),"Young")</f>
        <v>Young</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cm="1">
        <f t="array" ref="M182">_xlfn.IFS(L182&gt;49,"Old",L182&lt;18,"Kid",AND(L182&gt;=18,L182&lt;=50),"Young")</f>
        <v>Young</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cm="1">
        <f t="array" ref="M183">_xlfn.IFS(L183&gt;49,"Old",L183&lt;18,"Kid",AND(L183&gt;=18,L183&lt;=50),"Young")</f>
        <v>Old</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cm="1">
        <f t="array" ref="M184">_xlfn.IFS(L184&gt;49,"Old",L184&lt;18,"Kid",AND(L184&gt;=18,L184&lt;=50),"Young")</f>
        <v>Young</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cm="1">
        <f t="array" ref="M185">_xlfn.IFS(L185&gt;49,"Old",L185&lt;18,"Kid",AND(L185&gt;=18,L185&lt;=50),"Young")</f>
        <v>Old</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cm="1">
        <f t="array" ref="M186">_xlfn.IFS(L186&gt;49,"Old",L186&lt;18,"Kid",AND(L186&gt;=18,L186&lt;=50),"Young")</f>
        <v>Old</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cm="1">
        <f t="array" ref="M187">_xlfn.IFS(L187&gt;49,"Old",L187&lt;18,"Kid",AND(L187&gt;=18,L187&lt;=50),"Young")</f>
        <v>Young</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cm="1">
        <f t="array" ref="M188">_xlfn.IFS(L188&gt;49,"Old",L188&lt;18,"Kid",AND(L188&gt;=18,L188&lt;=50),"Young")</f>
        <v>Old</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cm="1">
        <f t="array" ref="M189">_xlfn.IFS(L189&gt;49,"Old",L189&lt;18,"Kid",AND(L189&gt;=18,L189&lt;=50),"Young")</f>
        <v>Old</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cm="1">
        <f t="array" ref="M190">_xlfn.IFS(L190&gt;49,"Old",L190&lt;18,"Kid",AND(L190&gt;=18,L190&lt;=50),"Young")</f>
        <v>Young</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cm="1">
        <f t="array" ref="M191">_xlfn.IFS(L191&gt;49,"Old",L191&lt;18,"Kid",AND(L191&gt;=18,L191&lt;=50),"Young")</f>
        <v>Young</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cm="1">
        <f t="array" ref="M192">_xlfn.IFS(L192&gt;49,"Old",L192&lt;18,"Kid",AND(L192&gt;=18,L192&lt;=50),"Young")</f>
        <v>Old</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cm="1">
        <f t="array" ref="M193">_xlfn.IFS(L193&gt;49,"Old",L193&lt;18,"Kid",AND(L193&gt;=18,L193&lt;=50),"Young")</f>
        <v>Young</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cm="1">
        <f t="array" ref="M194">_xlfn.IFS(L194&gt;49,"Old",L194&lt;18,"Kid",AND(L194&gt;=18,L194&lt;=50),"Young")</f>
        <v>Old</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cm="1">
        <f t="array" ref="M195">_xlfn.IFS(L195&gt;49,"Old",L195&lt;18,"Kid",AND(L195&gt;=18,L195&lt;=50),"Young")</f>
        <v>Young</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cm="1">
        <f t="array" ref="M196">_xlfn.IFS(L196&gt;49,"Old",L196&lt;18,"Kid",AND(L196&gt;=18,L196&lt;=50),"Young")</f>
        <v>Young</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cm="1">
        <f t="array" ref="M197">_xlfn.IFS(L197&gt;49,"Old",L197&lt;18,"Kid",AND(L197&gt;=18,L197&lt;=50),"Young")</f>
        <v>Young</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cm="1">
        <f t="array" ref="M198">_xlfn.IFS(L198&gt;49,"Old",L198&lt;18,"Kid",AND(L198&gt;=18,L198&lt;=50),"Young")</f>
        <v>Young</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cm="1">
        <f t="array" ref="M199">_xlfn.IFS(L199&gt;49,"Old",L199&lt;18,"Kid",AND(L199&gt;=18,L199&lt;=50),"Young")</f>
        <v>Old</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cm="1">
        <f t="array" ref="M200">_xlfn.IFS(L200&gt;49,"Old",L200&lt;18,"Kid",AND(L200&gt;=18,L200&lt;=50),"Young")</f>
        <v>Young</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cm="1">
        <f t="array" ref="M201">_xlfn.IFS(L201&gt;49,"Old",L201&lt;18,"Kid",AND(L201&gt;=18,L201&lt;=50),"Young")</f>
        <v>Young</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cm="1">
        <f t="array" ref="M202">_xlfn.IFS(L202&gt;49,"Old",L202&lt;18,"Kid",AND(L202&gt;=18,L202&lt;=50),"Young")</f>
        <v>Young</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cm="1">
        <f t="array" ref="M203">_xlfn.IFS(L203&gt;49,"Old",L203&lt;18,"Kid",AND(L203&gt;=18,L203&lt;=50),"Young")</f>
        <v>Young</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cm="1">
        <f t="array" ref="M204">_xlfn.IFS(L204&gt;49,"Old",L204&lt;18,"Kid",AND(L204&gt;=18,L204&lt;=50),"Young")</f>
        <v>Young</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cm="1">
        <f t="array" ref="M205">_xlfn.IFS(L205&gt;49,"Old",L205&lt;18,"Kid",AND(L205&gt;=18,L205&lt;=50),"Young")</f>
        <v>Young</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cm="1">
        <f t="array" ref="M206">_xlfn.IFS(L206&gt;49,"Old",L206&lt;18,"Kid",AND(L206&gt;=18,L206&lt;=50),"Young")</f>
        <v>Old</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cm="1">
        <f t="array" ref="M207">_xlfn.IFS(L207&gt;49,"Old",L207&lt;18,"Kid",AND(L207&gt;=18,L207&lt;=50),"Young")</f>
        <v>Young</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cm="1">
        <f t="array" ref="M208">_xlfn.IFS(L208&gt;49,"Old",L208&lt;18,"Kid",AND(L208&gt;=18,L208&lt;=50),"Young")</f>
        <v>Old</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cm="1">
        <f t="array" ref="M209">_xlfn.IFS(L209&gt;49,"Old",L209&lt;18,"Kid",AND(L209&gt;=18,L209&lt;=50),"Young")</f>
        <v>Young</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cm="1">
        <f t="array" ref="M210">_xlfn.IFS(L210&gt;49,"Old",L210&lt;18,"Kid",AND(L210&gt;=18,L210&lt;=50),"Young")</f>
        <v>Young</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cm="1">
        <f t="array" ref="M211">_xlfn.IFS(L211&gt;49,"Old",L211&lt;18,"Kid",AND(L211&gt;=18,L211&lt;=50),"Young")</f>
        <v>Young</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cm="1">
        <f t="array" ref="M212">_xlfn.IFS(L212&gt;49,"Old",L212&lt;18,"Kid",AND(L212&gt;=18,L212&lt;=50),"Young")</f>
        <v>Young</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cm="1">
        <f t="array" ref="M213">_xlfn.IFS(L213&gt;49,"Old",L213&lt;18,"Kid",AND(L213&gt;=18,L213&lt;=50),"Young")</f>
        <v>Young</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cm="1">
        <f t="array" ref="M214">_xlfn.IFS(L214&gt;49,"Old",L214&lt;18,"Kid",AND(L214&gt;=18,L214&lt;=50),"Young")</f>
        <v>Young</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cm="1">
        <f t="array" ref="M215">_xlfn.IFS(L215&gt;49,"Old",L215&lt;18,"Kid",AND(L215&gt;=18,L215&lt;=50),"Young")</f>
        <v>Young</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cm="1">
        <f t="array" ref="M216">_xlfn.IFS(L216&gt;49,"Old",L216&lt;18,"Kid",AND(L216&gt;=18,L216&lt;=50),"Young")</f>
        <v>Old</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cm="1">
        <f t="array" ref="M217">_xlfn.IFS(L217&gt;49,"Old",L217&lt;18,"Kid",AND(L217&gt;=18,L217&lt;=50),"Young")</f>
        <v>Old</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cm="1">
        <f t="array" ref="M218">_xlfn.IFS(L218&gt;49,"Old",L218&lt;18,"Kid",AND(L218&gt;=18,L218&lt;=50),"Young")</f>
        <v>Old</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cm="1">
        <f t="array" ref="M219">_xlfn.IFS(L219&gt;49,"Old",L219&lt;18,"Kid",AND(L219&gt;=18,L219&lt;=50),"Young")</f>
        <v>Young</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cm="1">
        <f t="array" ref="M220">_xlfn.IFS(L220&gt;49,"Old",L220&lt;18,"Kid",AND(L220&gt;=18,L220&lt;=50),"Young")</f>
        <v>Young</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cm="1">
        <f t="array" ref="M221">_xlfn.IFS(L221&gt;49,"Old",L221&lt;18,"Kid",AND(L221&gt;=18,L221&lt;=50),"Young")</f>
        <v>Young</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cm="1">
        <f t="array" ref="M222">_xlfn.IFS(L222&gt;49,"Old",L222&lt;18,"Kid",AND(L222&gt;=18,L222&lt;=50),"Young")</f>
        <v>Young</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cm="1">
        <f t="array" ref="M223">_xlfn.IFS(L223&gt;49,"Old",L223&lt;18,"Kid",AND(L223&gt;=18,L223&lt;=50),"Young")</f>
        <v>Young</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cm="1">
        <f t="array" ref="M224">_xlfn.IFS(L224&gt;49,"Old",L224&lt;18,"Kid",AND(L224&gt;=18,L224&lt;=50),"Young")</f>
        <v>Young</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cm="1">
        <f t="array" ref="M225">_xlfn.IFS(L225&gt;49,"Old",L225&lt;18,"Kid",AND(L225&gt;=18,L225&lt;=50),"Young")</f>
        <v>Young</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cm="1">
        <f t="array" ref="M226">_xlfn.IFS(L226&gt;49,"Old",L226&lt;18,"Kid",AND(L226&gt;=18,L226&lt;=50),"Young")</f>
        <v>Old</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cm="1">
        <f t="array" ref="M227">_xlfn.IFS(L227&gt;49,"Old",L227&lt;18,"Kid",AND(L227&gt;=18,L227&lt;=50),"Young")</f>
        <v>Young</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cm="1">
        <f t="array" ref="M228">_xlfn.IFS(L228&gt;49,"Old",L228&lt;18,"Kid",AND(L228&gt;=18,L228&lt;=50),"Young")</f>
        <v>Young</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cm="1">
        <f t="array" ref="M229">_xlfn.IFS(L229&gt;49,"Old",L229&lt;18,"Kid",AND(L229&gt;=18,L229&lt;=50),"Young")</f>
        <v>Young</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cm="1">
        <f t="array" ref="M230">_xlfn.IFS(L230&gt;49,"Old",L230&lt;18,"Kid",AND(L230&gt;=18,L230&lt;=50),"Young")</f>
        <v>Young</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cm="1">
        <f t="array" ref="M231">_xlfn.IFS(L231&gt;49,"Old",L231&lt;18,"Kid",AND(L231&gt;=18,L231&lt;=50),"Young")</f>
        <v>Old</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cm="1">
        <f t="array" ref="M232">_xlfn.IFS(L232&gt;49,"Old",L232&lt;18,"Kid",AND(L232&gt;=18,L232&lt;=50),"Young")</f>
        <v>Old</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cm="1">
        <f t="array" ref="M233">_xlfn.IFS(L233&gt;49,"Old",L233&lt;18,"Kid",AND(L233&gt;=18,L233&lt;=50),"Young")</f>
        <v>Young</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cm="1">
        <f t="array" ref="M234">_xlfn.IFS(L234&gt;49,"Old",L234&lt;18,"Kid",AND(L234&gt;=18,L234&lt;=50),"Young")</f>
        <v>Young</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cm="1">
        <f t="array" ref="M235">_xlfn.IFS(L235&gt;49,"Old",L235&lt;18,"Kid",AND(L235&gt;=18,L235&lt;=50),"Young")</f>
        <v>Young</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cm="1">
        <f t="array" ref="M236">_xlfn.IFS(L236&gt;49,"Old",L236&lt;18,"Kid",AND(L236&gt;=18,L236&lt;=50),"Young")</f>
        <v>Young</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cm="1">
        <f t="array" ref="M237">_xlfn.IFS(L237&gt;49,"Old",L237&lt;18,"Kid",AND(L237&gt;=18,L237&lt;=50),"Young")</f>
        <v>Old</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cm="1">
        <f t="array" ref="M238">_xlfn.IFS(L238&gt;49,"Old",L238&lt;18,"Kid",AND(L238&gt;=18,L238&lt;=50),"Young")</f>
        <v>Young</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cm="1">
        <f t="array" ref="M239">_xlfn.IFS(L239&gt;49,"Old",L239&lt;18,"Kid",AND(L239&gt;=18,L239&lt;=50),"Young")</f>
        <v>Young</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cm="1">
        <f t="array" ref="M240">_xlfn.IFS(L240&gt;49,"Old",L240&lt;18,"Kid",AND(L240&gt;=18,L240&lt;=50),"Young")</f>
        <v>Young</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cm="1">
        <f t="array" ref="M241">_xlfn.IFS(L241&gt;49,"Old",L241&lt;18,"Kid",AND(L241&gt;=18,L241&lt;=50),"Young")</f>
        <v>Young</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cm="1">
        <f t="array" ref="M242">_xlfn.IFS(L242&gt;49,"Old",L242&lt;18,"Kid",AND(L242&gt;=18,L242&lt;=50),"Young")</f>
        <v>Young</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cm="1">
        <f t="array" ref="M243">_xlfn.IFS(L243&gt;49,"Old",L243&lt;18,"Kid",AND(L243&gt;=18,L243&lt;=50),"Young")</f>
        <v>Young</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cm="1">
        <f t="array" ref="M244">_xlfn.IFS(L244&gt;49,"Old",L244&lt;18,"Kid",AND(L244&gt;=18,L244&lt;=50),"Young")</f>
        <v>Young</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cm="1">
        <f t="array" ref="M245">_xlfn.IFS(L245&gt;49,"Old",L245&lt;18,"Kid",AND(L245&gt;=18,L245&lt;=50),"Young")</f>
        <v>Young</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cm="1">
        <f t="array" ref="M246">_xlfn.IFS(L246&gt;49,"Old",L246&lt;18,"Kid",AND(L246&gt;=18,L246&lt;=50),"Young")</f>
        <v>Old</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cm="1">
        <f t="array" ref="M247">_xlfn.IFS(L247&gt;49,"Old",L247&lt;18,"Kid",AND(L247&gt;=18,L247&lt;=50),"Young")</f>
        <v>Young</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cm="1">
        <f t="array" ref="M248">_xlfn.IFS(L248&gt;49,"Old",L248&lt;18,"Kid",AND(L248&gt;=18,L248&lt;=50),"Young")</f>
        <v>Old</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cm="1">
        <f t="array" ref="M249">_xlfn.IFS(L249&gt;49,"Old",L249&lt;18,"Kid",AND(L249&gt;=18,L249&lt;=50),"Young")</f>
        <v>Young</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cm="1">
        <f t="array" ref="M250">_xlfn.IFS(L250&gt;49,"Old",L250&lt;18,"Kid",AND(L250&gt;=18,L250&lt;=50),"Young")</f>
        <v>Old</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cm="1">
        <f t="array" ref="M251">_xlfn.IFS(L251&gt;49,"Old",L251&lt;18,"Kid",AND(L251&gt;=18,L251&lt;=50),"Young")</f>
        <v>Young</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cm="1">
        <f t="array" ref="M252">_xlfn.IFS(L252&gt;49,"Old",L252&lt;18,"Kid",AND(L252&gt;=18,L252&lt;=50),"Young")</f>
        <v>Old</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cm="1">
        <f t="array" ref="M253">_xlfn.IFS(L253&gt;49,"Old",L253&lt;18,"Kid",AND(L253&gt;=18,L253&lt;=50),"Young")</f>
        <v>Old</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cm="1">
        <f t="array" ref="M254">_xlfn.IFS(L254&gt;49,"Old",L254&lt;18,"Kid",AND(L254&gt;=18,L254&lt;=50),"Young")</f>
        <v>Young</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cm="1">
        <f t="array" ref="M255">_xlfn.IFS(L255&gt;49,"Old",L255&lt;18,"Kid",AND(L255&gt;=18,L255&lt;=50),"Young")</f>
        <v>Old</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cm="1">
        <f t="array" ref="M256">_xlfn.IFS(L256&gt;49,"Old",L256&lt;18,"Kid",AND(L256&gt;=18,L256&lt;=50),"Young")</f>
        <v>Old</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cm="1">
        <f t="array" ref="M257">_xlfn.IFS(L257&gt;49,"Old",L257&lt;18,"Kid",AND(L257&gt;=18,L257&lt;=50),"Young")</f>
        <v>Young</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cm="1">
        <f t="array" ref="M258">_xlfn.IFS(L258&gt;49,"Old",L258&lt;18,"Kid",AND(L258&gt;=18,L258&lt;=50),"Young")</f>
        <v>Young</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cm="1">
        <f t="array" ref="M259">_xlfn.IFS(L259&gt;49,"Old",L259&lt;18,"Kid",AND(L259&gt;=18,L259&lt;=50),"Young")</f>
        <v>Young</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cm="1">
        <f t="array" ref="M260">_xlfn.IFS(L260&gt;49,"Old",L260&lt;18,"Kid",AND(L260&gt;=18,L260&lt;=50),"Young")</f>
        <v>Old</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cm="1">
        <f t="array" ref="M261">_xlfn.IFS(L261&gt;49,"Old",L261&lt;18,"Kid",AND(L261&gt;=18,L261&lt;=50),"Young")</f>
        <v>Young</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cm="1">
        <f t="array" ref="M262">_xlfn.IFS(L262&gt;49,"Old",L262&lt;18,"Kid",AND(L262&gt;=18,L262&lt;=50),"Young")</f>
        <v>Young</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cm="1">
        <f t="array" ref="M263">_xlfn.IFS(L263&gt;49,"Old",L263&lt;18,"Kid",AND(L263&gt;=18,L263&lt;=50),"Young")</f>
        <v>Young</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cm="1">
        <f t="array" ref="M264">_xlfn.IFS(L264&gt;49,"Old",L264&lt;18,"Kid",AND(L264&gt;=18,L264&lt;=50),"Young")</f>
        <v>Old</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cm="1">
        <f t="array" ref="M265">_xlfn.IFS(L265&gt;49,"Old",L265&lt;18,"Kid",AND(L265&gt;=18,L265&lt;=50),"Young")</f>
        <v>Young</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cm="1">
        <f t="array" ref="M266">_xlfn.IFS(L266&gt;49,"Old",L266&lt;18,"Kid",AND(L266&gt;=18,L266&lt;=50),"Young")</f>
        <v>Young</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cm="1">
        <f t="array" ref="M267">_xlfn.IFS(L267&gt;49,"Old",L267&lt;18,"Kid",AND(L267&gt;=18,L267&lt;=50),"Young")</f>
        <v>Young</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cm="1">
        <f t="array" ref="M268">_xlfn.IFS(L268&gt;49,"Old",L268&lt;18,"Kid",AND(L268&gt;=18,L268&lt;=50),"Young")</f>
        <v>Young</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cm="1">
        <f t="array" ref="M269">_xlfn.IFS(L269&gt;49,"Old",L269&lt;18,"Kid",AND(L269&gt;=18,L269&lt;=50),"Young")</f>
        <v>Young</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cm="1">
        <f t="array" ref="M270">_xlfn.IFS(L270&gt;49,"Old",L270&lt;18,"Kid",AND(L270&gt;=18,L270&lt;=50),"Young")</f>
        <v>Young</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cm="1">
        <f t="array" ref="M271">_xlfn.IFS(L271&gt;49,"Old",L271&lt;18,"Kid",AND(L271&gt;=18,L271&lt;=50),"Young")</f>
        <v>Young</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cm="1">
        <f t="array" ref="M272">_xlfn.IFS(L272&gt;49,"Old",L272&lt;18,"Kid",AND(L272&gt;=18,L272&lt;=50),"Young")</f>
        <v>Old</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cm="1">
        <f t="array" ref="M273">_xlfn.IFS(L273&gt;49,"Old",L273&lt;18,"Kid",AND(L273&gt;=18,L273&lt;=50),"Young")</f>
        <v>Young</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cm="1">
        <f t="array" ref="M274">_xlfn.IFS(L274&gt;49,"Old",L274&lt;18,"Kid",AND(L274&gt;=18,L274&lt;=50),"Young")</f>
        <v>Young</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cm="1">
        <f t="array" ref="M275">_xlfn.IFS(L275&gt;49,"Old",L275&lt;18,"Kid",AND(L275&gt;=18,L275&lt;=50),"Young")</f>
        <v>Young</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cm="1">
        <f t="array" ref="M276">_xlfn.IFS(L276&gt;49,"Old",L276&lt;18,"Kid",AND(L276&gt;=18,L276&lt;=50),"Young")</f>
        <v>Young</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cm="1">
        <f t="array" ref="M277">_xlfn.IFS(L277&gt;49,"Old",L277&lt;18,"Kid",AND(L277&gt;=18,L277&lt;=50),"Young")</f>
        <v>Young</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cm="1">
        <f t="array" ref="M278">_xlfn.IFS(L278&gt;49,"Old",L278&lt;18,"Kid",AND(L278&gt;=18,L278&lt;=50),"Young")</f>
        <v>Young</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cm="1">
        <f t="array" ref="M279">_xlfn.IFS(L279&gt;49,"Old",L279&lt;18,"Kid",AND(L279&gt;=18,L279&lt;=50),"Young")</f>
        <v>Young</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cm="1">
        <f t="array" ref="M280">_xlfn.IFS(L280&gt;49,"Old",L280&lt;18,"Kid",AND(L280&gt;=18,L280&lt;=50),"Young")</f>
        <v>Young</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cm="1">
        <f t="array" ref="M281">_xlfn.IFS(L281&gt;49,"Old",L281&lt;18,"Kid",AND(L281&gt;=18,L281&lt;=50),"Young")</f>
        <v>Young</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cm="1">
        <f t="array" ref="M282">_xlfn.IFS(L282&gt;49,"Old",L282&lt;18,"Kid",AND(L282&gt;=18,L282&lt;=50),"Young")</f>
        <v>Young</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cm="1">
        <f t="array" ref="M283">_xlfn.IFS(L283&gt;49,"Old",L283&lt;18,"Kid",AND(L283&gt;=18,L283&lt;=50),"Young")</f>
        <v>Young</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cm="1">
        <f t="array" ref="M284">_xlfn.IFS(L284&gt;49,"Old",L284&lt;18,"Kid",AND(L284&gt;=18,L284&lt;=50),"Young")</f>
        <v>Young</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cm="1">
        <f t="array" ref="M285">_xlfn.IFS(L285&gt;49,"Old",L285&lt;18,"Kid",AND(L285&gt;=18,L285&lt;=50),"Young")</f>
        <v>Young</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cm="1">
        <f t="array" ref="M286">_xlfn.IFS(L286&gt;49,"Old",L286&lt;18,"Kid",AND(L286&gt;=18,L286&lt;=50),"Young")</f>
        <v>Young</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cm="1">
        <f t="array" ref="M287">_xlfn.IFS(L287&gt;49,"Old",L287&lt;18,"Kid",AND(L287&gt;=18,L287&lt;=50),"Young")</f>
        <v>Young</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cm="1">
        <f t="array" ref="M288">_xlfn.IFS(L288&gt;49,"Old",L288&lt;18,"Kid",AND(L288&gt;=18,L288&lt;=50),"Young")</f>
        <v>Young</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cm="1">
        <f t="array" ref="M289">_xlfn.IFS(L289&gt;49,"Old",L289&lt;18,"Kid",AND(L289&gt;=18,L289&lt;=50),"Young")</f>
        <v>Young</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cm="1">
        <f t="array" ref="M290">_xlfn.IFS(L290&gt;49,"Old",L290&lt;18,"Kid",AND(L290&gt;=18,L290&lt;=50),"Young")</f>
        <v>Young</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cm="1">
        <f t="array" ref="M291">_xlfn.IFS(L291&gt;49,"Old",L291&lt;18,"Kid",AND(L291&gt;=18,L291&lt;=50),"Young")</f>
        <v>Old</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cm="1">
        <f t="array" ref="M292">_xlfn.IFS(L292&gt;49,"Old",L292&lt;18,"Kid",AND(L292&gt;=18,L292&lt;=50),"Young")</f>
        <v>Young</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cm="1">
        <f t="array" ref="M293">_xlfn.IFS(L293&gt;49,"Old",L293&lt;18,"Kid",AND(L293&gt;=18,L293&lt;=50),"Young")</f>
        <v>Young</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cm="1">
        <f t="array" ref="M294">_xlfn.IFS(L294&gt;49,"Old",L294&lt;18,"Kid",AND(L294&gt;=18,L294&lt;=50),"Young")</f>
        <v>Young</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cm="1">
        <f t="array" ref="M295">_xlfn.IFS(L295&gt;49,"Old",L295&lt;18,"Kid",AND(L295&gt;=18,L295&lt;=50),"Young")</f>
        <v>Young</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cm="1">
        <f t="array" ref="M296">_xlfn.IFS(L296&gt;49,"Old",L296&lt;18,"Kid",AND(L296&gt;=18,L296&lt;=50),"Young")</f>
        <v>Young</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cm="1">
        <f t="array" ref="M297">_xlfn.IFS(L297&gt;49,"Old",L297&lt;18,"Kid",AND(L297&gt;=18,L297&lt;=50),"Young")</f>
        <v>Young</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cm="1">
        <f t="array" ref="M298">_xlfn.IFS(L298&gt;49,"Old",L298&lt;18,"Kid",AND(L298&gt;=18,L298&lt;=50),"Young")</f>
        <v>Young</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cm="1">
        <f t="array" ref="M299">_xlfn.IFS(L299&gt;49,"Old",L299&lt;18,"Kid",AND(L299&gt;=18,L299&lt;=50),"Young")</f>
        <v>Young</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cm="1">
        <f t="array" ref="M300">_xlfn.IFS(L300&gt;49,"Old",L300&lt;18,"Kid",AND(L300&gt;=18,L300&lt;=50),"Young")</f>
        <v>Old</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cm="1">
        <f t="array" ref="M301">_xlfn.IFS(L301&gt;49,"Old",L301&lt;18,"Kid",AND(L301&gt;=18,L301&lt;=50),"Young")</f>
        <v>Old</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cm="1">
        <f t="array" ref="M302">_xlfn.IFS(L302&gt;49,"Old",L302&lt;18,"Kid",AND(L302&gt;=18,L302&lt;=50),"Young")</f>
        <v>Old</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cm="1">
        <f t="array" ref="M303">_xlfn.IFS(L303&gt;49,"Old",L303&lt;18,"Kid",AND(L303&gt;=18,L303&lt;=50),"Young")</f>
        <v>Young</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cm="1">
        <f t="array" ref="M304">_xlfn.IFS(L304&gt;49,"Old",L304&lt;18,"Kid",AND(L304&gt;=18,L304&lt;=50),"Young")</f>
        <v>Old</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cm="1">
        <f t="array" ref="M305">_xlfn.IFS(L305&gt;49,"Old",L305&lt;18,"Kid",AND(L305&gt;=18,L305&lt;=50),"Young")</f>
        <v>Young</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cm="1">
        <f t="array" ref="M306">_xlfn.IFS(L306&gt;49,"Old",L306&lt;18,"Kid",AND(L306&gt;=18,L306&lt;=50),"Young")</f>
        <v>Young</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cm="1">
        <f t="array" ref="M307">_xlfn.IFS(L307&gt;49,"Old",L307&lt;18,"Kid",AND(L307&gt;=18,L307&lt;=50),"Young")</f>
        <v>Old</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cm="1">
        <f t="array" ref="M308">_xlfn.IFS(L308&gt;49,"Old",L308&lt;18,"Kid",AND(L308&gt;=18,L308&lt;=50),"Young")</f>
        <v>Young</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cm="1">
        <f t="array" ref="M309">_xlfn.IFS(L309&gt;49,"Old",L309&lt;18,"Kid",AND(L309&gt;=18,L309&lt;=50),"Young")</f>
        <v>Old</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cm="1">
        <f t="array" ref="M310">_xlfn.IFS(L310&gt;49,"Old",L310&lt;18,"Kid",AND(L310&gt;=18,L310&lt;=50),"Young")</f>
        <v>Young</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cm="1">
        <f t="array" ref="M311">_xlfn.IFS(L311&gt;49,"Old",L311&lt;18,"Kid",AND(L311&gt;=18,L311&lt;=50),"Young")</f>
        <v>Young</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cm="1">
        <f t="array" ref="M312">_xlfn.IFS(L312&gt;49,"Old",L312&lt;18,"Kid",AND(L312&gt;=18,L312&lt;=50),"Young")</f>
        <v>Young</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cm="1">
        <f t="array" ref="M313">_xlfn.IFS(L313&gt;49,"Old",L313&lt;18,"Kid",AND(L313&gt;=18,L313&lt;=50),"Young")</f>
        <v>Young</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cm="1">
        <f t="array" ref="M314">_xlfn.IFS(L314&gt;49,"Old",L314&lt;18,"Kid",AND(L314&gt;=18,L314&lt;=50),"Young")</f>
        <v>Old</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cm="1">
        <f t="array" ref="M315">_xlfn.IFS(L315&gt;49,"Old",L315&lt;18,"Kid",AND(L315&gt;=18,L315&lt;=50),"Young")</f>
        <v>Old</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cm="1">
        <f t="array" ref="M316">_xlfn.IFS(L316&gt;49,"Old",L316&lt;18,"Kid",AND(L316&gt;=18,L316&lt;=50),"Young")</f>
        <v>Young</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cm="1">
        <f t="array" ref="M317">_xlfn.IFS(L317&gt;49,"Old",L317&lt;18,"Kid",AND(L317&gt;=18,L317&lt;=50),"Young")</f>
        <v>Young</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cm="1">
        <f t="array" ref="M318">_xlfn.IFS(L318&gt;49,"Old",L318&lt;18,"Kid",AND(L318&gt;=18,L318&lt;=50),"Young")</f>
        <v>Old</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cm="1">
        <f t="array" ref="M319">_xlfn.IFS(L319&gt;49,"Old",L319&lt;18,"Kid",AND(L319&gt;=18,L319&lt;=50),"Young")</f>
        <v>Young</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cm="1">
        <f t="array" ref="M320">_xlfn.IFS(L320&gt;49,"Old",L320&lt;18,"Kid",AND(L320&gt;=18,L320&lt;=50),"Young")</f>
        <v>Old</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cm="1">
        <f t="array" ref="M321">_xlfn.IFS(L321&gt;49,"Old",L321&lt;18,"Kid",AND(L321&gt;=18,L321&lt;=50),"Young")</f>
        <v>Young</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cm="1">
        <f t="array" ref="M322">_xlfn.IFS(L322&gt;49,"Old",L322&lt;18,"Kid",AND(L322&gt;=18,L322&lt;=50),"Young")</f>
        <v>Young</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cm="1">
        <f t="array" ref="M323">_xlfn.IFS(L323&gt;49,"Old",L323&lt;18,"Kid",AND(L323&gt;=18,L323&lt;=50),"Young")</f>
        <v>Young</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cm="1">
        <f t="array" ref="M324">_xlfn.IFS(L324&gt;49,"Old",L324&lt;18,"Kid",AND(L324&gt;=18,L324&lt;=50),"Young")</f>
        <v>Young</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cm="1">
        <f t="array" ref="M325">_xlfn.IFS(L325&gt;49,"Old",L325&lt;18,"Kid",AND(L325&gt;=18,L325&lt;=50),"Young")</f>
        <v>Young</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cm="1">
        <f t="array" ref="M326">_xlfn.IFS(L326&gt;49,"Old",L326&lt;18,"Kid",AND(L326&gt;=18,L326&lt;=50),"Young")</f>
        <v>Young</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cm="1">
        <f t="array" ref="M327">_xlfn.IFS(L327&gt;49,"Old",L327&lt;18,"Kid",AND(L327&gt;=18,L327&lt;=50),"Young")</f>
        <v>Young</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cm="1">
        <f t="array" ref="M328">_xlfn.IFS(L328&gt;49,"Old",L328&lt;18,"Kid",AND(L328&gt;=18,L328&lt;=50),"Young")</f>
        <v>Young</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cm="1">
        <f t="array" ref="M329">_xlfn.IFS(L329&gt;49,"Old",L329&lt;18,"Kid",AND(L329&gt;=18,L329&lt;=50),"Young")</f>
        <v>Young</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cm="1">
        <f t="array" ref="M330">_xlfn.IFS(L330&gt;49,"Old",L330&lt;18,"Kid",AND(L330&gt;=18,L330&lt;=50),"Young")</f>
        <v>Young</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cm="1">
        <f t="array" ref="M331">_xlfn.IFS(L331&gt;49,"Old",L331&lt;18,"Kid",AND(L331&gt;=18,L331&lt;=50),"Young")</f>
        <v>Old</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cm="1">
        <f t="array" ref="M332">_xlfn.IFS(L332&gt;49,"Old",L332&lt;18,"Kid",AND(L332&gt;=18,L332&lt;=50),"Young")</f>
        <v>Young</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cm="1">
        <f t="array" ref="M333">_xlfn.IFS(L333&gt;49,"Old",L333&lt;18,"Kid",AND(L333&gt;=18,L333&lt;=50),"Young")</f>
        <v>Young</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cm="1">
        <f t="array" ref="M334">_xlfn.IFS(L334&gt;49,"Old",L334&lt;18,"Kid",AND(L334&gt;=18,L334&lt;=50),"Young")</f>
        <v>Young</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cm="1">
        <f t="array" ref="M335">_xlfn.IFS(L335&gt;49,"Old",L335&lt;18,"Kid",AND(L335&gt;=18,L335&lt;=50),"Young")</f>
        <v>Old</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cm="1">
        <f t="array" ref="M336">_xlfn.IFS(L336&gt;49,"Old",L336&lt;18,"Kid",AND(L336&gt;=18,L336&lt;=50),"Young")</f>
        <v>Young</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cm="1">
        <f t="array" ref="M337">_xlfn.IFS(L337&gt;49,"Old",L337&lt;18,"Kid",AND(L337&gt;=18,L337&lt;=50),"Young")</f>
        <v>Young</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cm="1">
        <f t="array" ref="M338">_xlfn.IFS(L338&gt;49,"Old",L338&lt;18,"Kid",AND(L338&gt;=18,L338&lt;=50),"Young")</f>
        <v>Young</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cm="1">
        <f t="array" ref="M339">_xlfn.IFS(L339&gt;49,"Old",L339&lt;18,"Kid",AND(L339&gt;=18,L339&lt;=50),"Young")</f>
        <v>Young</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cm="1">
        <f t="array" ref="M340">_xlfn.IFS(L340&gt;49,"Old",L340&lt;18,"Kid",AND(L340&gt;=18,L340&lt;=50),"Young")</f>
        <v>Old</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cm="1">
        <f t="array" ref="M341">_xlfn.IFS(L341&gt;49,"Old",L341&lt;18,"Kid",AND(L341&gt;=18,L341&lt;=50),"Young")</f>
        <v>Old</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cm="1">
        <f t="array" ref="M342">_xlfn.IFS(L342&gt;49,"Old",L342&lt;18,"Kid",AND(L342&gt;=18,L342&lt;=50),"Young")</f>
        <v>Young</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cm="1">
        <f t="array" ref="M343">_xlfn.IFS(L343&gt;49,"Old",L343&lt;18,"Kid",AND(L343&gt;=18,L343&lt;=50),"Young")</f>
        <v>Young</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cm="1">
        <f t="array" ref="M344">_xlfn.IFS(L344&gt;49,"Old",L344&lt;18,"Kid",AND(L344&gt;=18,L344&lt;=50),"Young")</f>
        <v>Young</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cm="1">
        <f t="array" ref="M345">_xlfn.IFS(L345&gt;49,"Old",L345&lt;18,"Kid",AND(L345&gt;=18,L345&lt;=50),"Young")</f>
        <v>Young</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cm="1">
        <f t="array" ref="M346">_xlfn.IFS(L346&gt;49,"Old",L346&lt;18,"Kid",AND(L346&gt;=18,L346&lt;=50),"Young")</f>
        <v>Young</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cm="1">
        <f t="array" ref="M347">_xlfn.IFS(L347&gt;49,"Old",L347&lt;18,"Kid",AND(L347&gt;=18,L347&lt;=50),"Young")</f>
        <v>Old</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cm="1">
        <f t="array" ref="M348">_xlfn.IFS(L348&gt;49,"Old",L348&lt;18,"Kid",AND(L348&gt;=18,L348&lt;=50),"Young")</f>
        <v>Young</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cm="1">
        <f t="array" ref="M349">_xlfn.IFS(L349&gt;49,"Old",L349&lt;18,"Kid",AND(L349&gt;=18,L349&lt;=50),"Young")</f>
        <v>Young</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cm="1">
        <f t="array" ref="M350">_xlfn.IFS(L350&gt;49,"Old",L350&lt;18,"Kid",AND(L350&gt;=18,L350&lt;=50),"Young")</f>
        <v>Young</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cm="1">
        <f t="array" ref="M351">_xlfn.IFS(L351&gt;49,"Old",L351&lt;18,"Kid",AND(L351&gt;=18,L351&lt;=50),"Young")</f>
        <v>Young</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cm="1">
        <f t="array" ref="M352">_xlfn.IFS(L352&gt;49,"Old",L352&lt;18,"Kid",AND(L352&gt;=18,L352&lt;=50),"Young")</f>
        <v>Young</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cm="1">
        <f t="array" ref="M353">_xlfn.IFS(L353&gt;49,"Old",L353&lt;18,"Kid",AND(L353&gt;=18,L353&lt;=50),"Young")</f>
        <v>Young</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cm="1">
        <f t="array" ref="M354">_xlfn.IFS(L354&gt;49,"Old",L354&lt;18,"Kid",AND(L354&gt;=18,L354&lt;=50),"Young")</f>
        <v>Old</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cm="1">
        <f t="array" ref="M355">_xlfn.IFS(L355&gt;49,"Old",L355&lt;18,"Kid",AND(L355&gt;=18,L355&lt;=50),"Young")</f>
        <v>Young</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cm="1">
        <f t="array" ref="M356">_xlfn.IFS(L356&gt;49,"Old",L356&lt;18,"Kid",AND(L356&gt;=18,L356&lt;=50),"Young")</f>
        <v>Young</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cm="1">
        <f t="array" ref="M357">_xlfn.IFS(L357&gt;49,"Old",L357&lt;18,"Kid",AND(L357&gt;=18,L357&lt;=50),"Young")</f>
        <v>Young</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cm="1">
        <f t="array" ref="M358">_xlfn.IFS(L358&gt;49,"Old",L358&lt;18,"Kid",AND(L358&gt;=18,L358&lt;=50),"Young")</f>
        <v>Old</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cm="1">
        <f t="array" ref="M359">_xlfn.IFS(L359&gt;49,"Old",L359&lt;18,"Kid",AND(L359&gt;=18,L359&lt;=50),"Young")</f>
        <v>Young</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cm="1">
        <f t="array" ref="M360">_xlfn.IFS(L360&gt;49,"Old",L360&lt;18,"Kid",AND(L360&gt;=18,L360&lt;=50),"Young")</f>
        <v>Old</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cm="1">
        <f t="array" ref="M361">_xlfn.IFS(L361&gt;49,"Old",L361&lt;18,"Kid",AND(L361&gt;=18,L361&lt;=50),"Young")</f>
        <v>Young</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cm="1">
        <f t="array" ref="M362">_xlfn.IFS(L362&gt;49,"Old",L362&lt;18,"Kid",AND(L362&gt;=18,L362&lt;=50),"Young")</f>
        <v>Young</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cm="1">
        <f t="array" ref="M363">_xlfn.IFS(L363&gt;49,"Old",L363&lt;18,"Kid",AND(L363&gt;=18,L363&lt;=50),"Young")</f>
        <v>Young</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cm="1">
        <f t="array" ref="M364">_xlfn.IFS(L364&gt;49,"Old",L364&lt;18,"Kid",AND(L364&gt;=18,L364&lt;=50),"Young")</f>
        <v>Young</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cm="1">
        <f t="array" ref="M365">_xlfn.IFS(L365&gt;49,"Old",L365&lt;18,"Kid",AND(L365&gt;=18,L365&lt;=50),"Young")</f>
        <v>Old</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cm="1">
        <f t="array" ref="M366">_xlfn.IFS(L366&gt;49,"Old",L366&lt;18,"Kid",AND(L366&gt;=18,L366&lt;=50),"Young")</f>
        <v>Young</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cm="1">
        <f t="array" ref="M367">_xlfn.IFS(L367&gt;49,"Old",L367&lt;18,"Kid",AND(L367&gt;=18,L367&lt;=50),"Young")</f>
        <v>Young</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cm="1">
        <f t="array" ref="M368">_xlfn.IFS(L368&gt;49,"Old",L368&lt;18,"Kid",AND(L368&gt;=18,L368&lt;=50),"Young")</f>
        <v>Young</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cm="1">
        <f t="array" ref="M369">_xlfn.IFS(L369&gt;49,"Old",L369&lt;18,"Kid",AND(L369&gt;=18,L369&lt;=50),"Young")</f>
        <v>Old</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cm="1">
        <f t="array" ref="M370">_xlfn.IFS(L370&gt;49,"Old",L370&lt;18,"Kid",AND(L370&gt;=18,L370&lt;=50),"Young")</f>
        <v>Old</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cm="1">
        <f t="array" ref="M371">_xlfn.IFS(L371&gt;49,"Old",L371&lt;18,"Kid",AND(L371&gt;=18,L371&lt;=50),"Young")</f>
        <v>Old</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cm="1">
        <f t="array" ref="M372">_xlfn.IFS(L372&gt;49,"Old",L372&lt;18,"Kid",AND(L372&gt;=18,L372&lt;=50),"Young")</f>
        <v>Young</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cm="1">
        <f t="array" ref="M373">_xlfn.IFS(L373&gt;49,"Old",L373&lt;18,"Kid",AND(L373&gt;=18,L373&lt;=50),"Young")</f>
        <v>Old</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cm="1">
        <f t="array" ref="M374">_xlfn.IFS(L374&gt;49,"Old",L374&lt;18,"Kid",AND(L374&gt;=18,L374&lt;=50),"Young")</f>
        <v>Young</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cm="1">
        <f t="array" ref="M375">_xlfn.IFS(L375&gt;49,"Old",L375&lt;18,"Kid",AND(L375&gt;=18,L375&lt;=50),"Young")</f>
        <v>Young</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cm="1">
        <f t="array" ref="M376">_xlfn.IFS(L376&gt;49,"Old",L376&lt;18,"Kid",AND(L376&gt;=18,L376&lt;=50),"Young")</f>
        <v>Young</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cm="1">
        <f t="array" ref="M377">_xlfn.IFS(L377&gt;49,"Old",L377&lt;18,"Kid",AND(L377&gt;=18,L377&lt;=50),"Young")</f>
        <v>Old</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cm="1">
        <f t="array" ref="M378">_xlfn.IFS(L378&gt;49,"Old",L378&lt;18,"Kid",AND(L378&gt;=18,L378&lt;=50),"Young")</f>
        <v>Old</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cm="1">
        <f t="array" ref="M379">_xlfn.IFS(L379&gt;49,"Old",L379&lt;18,"Kid",AND(L379&gt;=18,L379&lt;=50),"Young")</f>
        <v>Old</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cm="1">
        <f t="array" ref="M380">_xlfn.IFS(L380&gt;49,"Old",L380&lt;18,"Kid",AND(L380&gt;=18,L380&lt;=50),"Young")</f>
        <v>Old</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cm="1">
        <f t="array" ref="M381">_xlfn.IFS(L381&gt;49,"Old",L381&lt;18,"Kid",AND(L381&gt;=18,L381&lt;=50),"Young")</f>
        <v>Young</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cm="1">
        <f t="array" ref="M382">_xlfn.IFS(L382&gt;49,"Old",L382&lt;18,"Kid",AND(L382&gt;=18,L382&lt;=50),"Young")</f>
        <v>Young</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cm="1">
        <f t="array" ref="M383">_xlfn.IFS(L383&gt;49,"Old",L383&lt;18,"Kid",AND(L383&gt;=18,L383&lt;=50),"Young")</f>
        <v>Old</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cm="1">
        <f t="array" ref="M384">_xlfn.IFS(L384&gt;49,"Old",L384&lt;18,"Kid",AND(L384&gt;=18,L384&lt;=50),"Young")</f>
        <v>Old</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cm="1">
        <f t="array" ref="M385">_xlfn.IFS(L385&gt;49,"Old",L385&lt;18,"Kid",AND(L385&gt;=18,L385&lt;=50),"Young")</f>
        <v>Young</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cm="1">
        <f t="array" ref="M386">_xlfn.IFS(L386&gt;49,"Old",L386&lt;18,"Kid",AND(L386&gt;=18,L386&lt;=50),"Young")</f>
        <v>Young</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cm="1">
        <f t="array" ref="M387">_xlfn.IFS(L387&gt;49,"Old",L387&lt;18,"Kid",AND(L387&gt;=18,L387&lt;=50),"Young")</f>
        <v>Young</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cm="1">
        <f t="array" ref="M388">_xlfn.IFS(L388&gt;49,"Old",L388&lt;18,"Kid",AND(L388&gt;=18,L388&lt;=50),"Young")</f>
        <v>Young</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cm="1">
        <f t="array" ref="M389">_xlfn.IFS(L389&gt;49,"Old",L389&lt;18,"Kid",AND(L389&gt;=18,L389&lt;=50),"Young")</f>
        <v>Young</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cm="1">
        <f t="array" ref="M390">_xlfn.IFS(L390&gt;49,"Old",L390&lt;18,"Kid",AND(L390&gt;=18,L390&lt;=50),"Young")</f>
        <v>Old</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cm="1">
        <f t="array" ref="M391">_xlfn.IFS(L391&gt;49,"Old",L391&lt;18,"Kid",AND(L391&gt;=18,L391&lt;=50),"Young")</f>
        <v>Young</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cm="1">
        <f t="array" ref="M392">_xlfn.IFS(L392&gt;49,"Old",L392&lt;18,"Kid",AND(L392&gt;=18,L392&lt;=50),"Young")</f>
        <v>Young</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cm="1">
        <f t="array" ref="M393">_xlfn.IFS(L393&gt;49,"Old",L393&lt;18,"Kid",AND(L393&gt;=18,L393&lt;=50),"Young")</f>
        <v>Young</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cm="1">
        <f t="array" ref="M394">_xlfn.IFS(L394&gt;49,"Old",L394&lt;18,"Kid",AND(L394&gt;=18,L394&lt;=50),"Young")</f>
        <v>Old</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cm="1">
        <f t="array" ref="M395">_xlfn.IFS(L395&gt;49,"Old",L395&lt;18,"Kid",AND(L395&gt;=18,L395&lt;=50),"Young")</f>
        <v>Young</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cm="1">
        <f t="array" ref="M396">_xlfn.IFS(L396&gt;49,"Old",L396&lt;18,"Kid",AND(L396&gt;=18,L396&lt;=50),"Young")</f>
        <v>Young</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cm="1">
        <f t="array" ref="M397">_xlfn.IFS(L397&gt;49,"Old",L397&lt;18,"Kid",AND(L397&gt;=18,L397&lt;=50),"Young")</f>
        <v>Young</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cm="1">
        <f t="array" ref="M398">_xlfn.IFS(L398&gt;49,"Old",L398&lt;18,"Kid",AND(L398&gt;=18,L398&lt;=50),"Young")</f>
        <v>Young</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cm="1">
        <f t="array" ref="M399">_xlfn.IFS(L399&gt;49,"Old",L399&lt;18,"Kid",AND(L399&gt;=18,L399&lt;=50),"Young")</f>
        <v>Old</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cm="1">
        <f t="array" ref="M400">_xlfn.IFS(L400&gt;49,"Old",L400&lt;18,"Kid",AND(L400&gt;=18,L400&lt;=50),"Young")</f>
        <v>Young</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cm="1">
        <f t="array" ref="M401">_xlfn.IFS(L401&gt;49,"Old",L401&lt;18,"Kid",AND(L401&gt;=18,L401&lt;=50),"Young")</f>
        <v>Old</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cm="1">
        <f t="array" ref="M402">_xlfn.IFS(L402&gt;49,"Old",L402&lt;18,"Kid",AND(L402&gt;=18,L402&lt;=50),"Young")</f>
        <v>Old</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cm="1">
        <f t="array" ref="M403">_xlfn.IFS(L403&gt;49,"Old",L403&lt;18,"Kid",AND(L403&gt;=18,L403&lt;=50),"Young")</f>
        <v>Old</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cm="1">
        <f t="array" ref="M404">_xlfn.IFS(L404&gt;49,"Old",L404&lt;18,"Kid",AND(L404&gt;=18,L404&lt;=50),"Young")</f>
        <v>Young</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cm="1">
        <f t="array" ref="M405">_xlfn.IFS(L405&gt;49,"Old",L405&lt;18,"Kid",AND(L405&gt;=18,L405&lt;=50),"Young")</f>
        <v>Young</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cm="1">
        <f t="array" ref="M406">_xlfn.IFS(L406&gt;49,"Old",L406&lt;18,"Kid",AND(L406&gt;=18,L406&lt;=50),"Young")</f>
        <v>Old</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cm="1">
        <f t="array" ref="M407">_xlfn.IFS(L407&gt;49,"Old",L407&lt;18,"Kid",AND(L407&gt;=18,L407&lt;=50),"Young")</f>
        <v>Young</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cm="1">
        <f t="array" ref="M408">_xlfn.IFS(L408&gt;49,"Old",L408&lt;18,"Kid",AND(L408&gt;=18,L408&lt;=50),"Young")</f>
        <v>Young</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cm="1">
        <f t="array" ref="M409">_xlfn.IFS(L409&gt;49,"Old",L409&lt;18,"Kid",AND(L409&gt;=18,L409&lt;=50),"Young")</f>
        <v>Young</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cm="1">
        <f t="array" ref="M410">_xlfn.IFS(L410&gt;49,"Old",L410&lt;18,"Kid",AND(L410&gt;=18,L410&lt;=50),"Young")</f>
        <v>Young</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cm="1">
        <f t="array" ref="M411">_xlfn.IFS(L411&gt;49,"Old",L411&lt;18,"Kid",AND(L411&gt;=18,L411&lt;=50),"Young")</f>
        <v>Old</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cm="1">
        <f t="array" ref="M412">_xlfn.IFS(L412&gt;49,"Old",L412&lt;18,"Kid",AND(L412&gt;=18,L412&lt;=50),"Young")</f>
        <v>Young</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cm="1">
        <f t="array" ref="M413">_xlfn.IFS(L413&gt;49,"Old",L413&lt;18,"Kid",AND(L413&gt;=18,L413&lt;=50),"Young")</f>
        <v>Young</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cm="1">
        <f t="array" ref="M414">_xlfn.IFS(L414&gt;49,"Old",L414&lt;18,"Kid",AND(L414&gt;=18,L414&lt;=50),"Young")</f>
        <v>Young</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cm="1">
        <f t="array" ref="M415">_xlfn.IFS(L415&gt;49,"Old",L415&lt;18,"Kid",AND(L415&gt;=18,L415&lt;=50),"Young")</f>
        <v>Old</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cm="1">
        <f t="array" ref="M416">_xlfn.IFS(L416&gt;49,"Old",L416&lt;18,"Kid",AND(L416&gt;=18,L416&lt;=50),"Young")</f>
        <v>Young</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cm="1">
        <f t="array" ref="M417">_xlfn.IFS(L417&gt;49,"Old",L417&lt;18,"Kid",AND(L417&gt;=18,L417&lt;=50),"Young")</f>
        <v>Young</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cm="1">
        <f t="array" ref="M418">_xlfn.IFS(L418&gt;49,"Old",L418&lt;18,"Kid",AND(L418&gt;=18,L418&lt;=50),"Young")</f>
        <v>Young</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cm="1">
        <f t="array" ref="M419">_xlfn.IFS(L419&gt;49,"Old",L419&lt;18,"Kid",AND(L419&gt;=18,L419&lt;=50),"Young")</f>
        <v>Old</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cm="1">
        <f t="array" ref="M420">_xlfn.IFS(L420&gt;49,"Old",L420&lt;18,"Kid",AND(L420&gt;=18,L420&lt;=50),"Young")</f>
        <v>Young</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cm="1">
        <f t="array" ref="M421">_xlfn.IFS(L421&gt;49,"Old",L421&lt;18,"Kid",AND(L421&gt;=18,L421&lt;=50),"Young")</f>
        <v>Old</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cm="1">
        <f t="array" ref="M422">_xlfn.IFS(L422&gt;49,"Old",L422&lt;18,"Kid",AND(L422&gt;=18,L422&lt;=50),"Young")</f>
        <v>Old</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cm="1">
        <f t="array" ref="M423">_xlfn.IFS(L423&gt;49,"Old",L423&lt;18,"Kid",AND(L423&gt;=18,L423&lt;=50),"Young")</f>
        <v>Old</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cm="1">
        <f t="array" ref="M424">_xlfn.IFS(L424&gt;49,"Old",L424&lt;18,"Kid",AND(L424&gt;=18,L424&lt;=50),"Young")</f>
        <v>Young</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cm="1">
        <f t="array" ref="M425">_xlfn.IFS(L425&gt;49,"Old",L425&lt;18,"Kid",AND(L425&gt;=18,L425&lt;=50),"Young")</f>
        <v>Young</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cm="1">
        <f t="array" ref="M426">_xlfn.IFS(L426&gt;49,"Old",L426&lt;18,"Kid",AND(L426&gt;=18,L426&lt;=50),"Young")</f>
        <v>Young</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cm="1">
        <f t="array" ref="M427">_xlfn.IFS(L427&gt;49,"Old",L427&lt;18,"Kid",AND(L427&gt;=18,L427&lt;=50),"Young")</f>
        <v>Old</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cm="1">
        <f t="array" ref="M428">_xlfn.IFS(L428&gt;49,"Old",L428&lt;18,"Kid",AND(L428&gt;=18,L428&lt;=50),"Young")</f>
        <v>Young</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cm="1">
        <f t="array" ref="M429">_xlfn.IFS(L429&gt;49,"Old",L429&lt;18,"Kid",AND(L429&gt;=18,L429&lt;=50),"Young")</f>
        <v>Young</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cm="1">
        <f t="array" ref="M430">_xlfn.IFS(L430&gt;49,"Old",L430&lt;18,"Kid",AND(L430&gt;=18,L430&lt;=50),"Young")</f>
        <v>Young</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cm="1">
        <f t="array" ref="M431">_xlfn.IFS(L431&gt;49,"Old",L431&lt;18,"Kid",AND(L431&gt;=18,L431&lt;=50),"Young")</f>
        <v>Young</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cm="1">
        <f t="array" ref="M432">_xlfn.IFS(L432&gt;49,"Old",L432&lt;18,"Kid",AND(L432&gt;=18,L432&lt;=50),"Young")</f>
        <v>Old</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cm="1">
        <f t="array" ref="M433">_xlfn.IFS(L433&gt;49,"Old",L433&lt;18,"Kid",AND(L433&gt;=18,L433&lt;=50),"Young")</f>
        <v>Young</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cm="1">
        <f t="array" ref="M434">_xlfn.IFS(L434&gt;49,"Old",L434&lt;18,"Kid",AND(L434&gt;=18,L434&lt;=50),"Young")</f>
        <v>Young</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cm="1">
        <f t="array" ref="M435">_xlfn.IFS(L435&gt;49,"Old",L435&lt;18,"Kid",AND(L435&gt;=18,L435&lt;=50),"Young")</f>
        <v>Young</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cm="1">
        <f t="array" ref="M436">_xlfn.IFS(L436&gt;49,"Old",L436&lt;18,"Kid",AND(L436&gt;=18,L436&lt;=50),"Young")</f>
        <v>Old</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cm="1">
        <f t="array" ref="M437">_xlfn.IFS(L437&gt;49,"Old",L437&lt;18,"Kid",AND(L437&gt;=18,L437&lt;=50),"Young")</f>
        <v>Old</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cm="1">
        <f t="array" ref="M438">_xlfn.IFS(L438&gt;49,"Old",L438&lt;18,"Kid",AND(L438&gt;=18,L438&lt;=50),"Young")</f>
        <v>Old</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cm="1">
        <f t="array" ref="M439">_xlfn.IFS(L439&gt;49,"Old",L439&lt;18,"Kid",AND(L439&gt;=18,L439&lt;=50),"Young")</f>
        <v>Young</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cm="1">
        <f t="array" ref="M440">_xlfn.IFS(L440&gt;49,"Old",L440&lt;18,"Kid",AND(L440&gt;=18,L440&lt;=50),"Young")</f>
        <v>Young</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cm="1">
        <f t="array" ref="M441">_xlfn.IFS(L441&gt;49,"Old",L441&lt;18,"Kid",AND(L441&gt;=18,L441&lt;=50),"Young")</f>
        <v>Young</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cm="1">
        <f t="array" ref="M442">_xlfn.IFS(L442&gt;49,"Old",L442&lt;18,"Kid",AND(L442&gt;=18,L442&lt;=50),"Young")</f>
        <v>Young</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cm="1">
        <f t="array" ref="M443">_xlfn.IFS(L443&gt;49,"Old",L443&lt;18,"Kid",AND(L443&gt;=18,L443&lt;=50),"Young")</f>
        <v>Old</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cm="1">
        <f t="array" ref="M444">_xlfn.IFS(L444&gt;49,"Old",L444&lt;18,"Kid",AND(L444&gt;=18,L444&lt;=50),"Young")</f>
        <v>Young</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cm="1">
        <f t="array" ref="M445">_xlfn.IFS(L445&gt;49,"Old",L445&lt;18,"Kid",AND(L445&gt;=18,L445&lt;=50),"Young")</f>
        <v>Young</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cm="1">
        <f t="array" ref="M446">_xlfn.IFS(L446&gt;49,"Old",L446&lt;18,"Kid",AND(L446&gt;=18,L446&lt;=50),"Young")</f>
        <v>Young</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cm="1">
        <f t="array" ref="M447">_xlfn.IFS(L447&gt;49,"Old",L447&lt;18,"Kid",AND(L447&gt;=18,L447&lt;=50),"Young")</f>
        <v>Young</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cm="1">
        <f t="array" ref="M448">_xlfn.IFS(L448&gt;49,"Old",L448&lt;18,"Kid",AND(L448&gt;=18,L448&lt;=50),"Young")</f>
        <v>Young</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cm="1">
        <f t="array" ref="M449">_xlfn.IFS(L449&gt;49,"Old",L449&lt;18,"Kid",AND(L449&gt;=18,L449&lt;=50),"Young")</f>
        <v>Young</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cm="1">
        <f t="array" ref="M450">_xlfn.IFS(L450&gt;49,"Old",L450&lt;18,"Kid",AND(L450&gt;=18,L450&lt;=50),"Young")</f>
        <v>Young</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cm="1">
        <f t="array" ref="M451">_xlfn.IFS(L451&gt;49,"Old",L451&lt;18,"Kid",AND(L451&gt;=18,L451&lt;=50),"Young")</f>
        <v>Young</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cm="1">
        <f t="array" ref="M452">_xlfn.IFS(L452&gt;49,"Old",L452&lt;18,"Kid",AND(L452&gt;=18,L452&lt;=50),"Young")</f>
        <v>Young</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cm="1">
        <f t="array" ref="M453">_xlfn.IFS(L453&gt;49,"Old",L453&lt;18,"Kid",AND(L453&gt;=18,L453&lt;=50),"Young")</f>
        <v>Young</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cm="1">
        <f t="array" ref="M454">_xlfn.IFS(L454&gt;49,"Old",L454&lt;18,"Kid",AND(L454&gt;=18,L454&lt;=50),"Young")</f>
        <v>Old</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cm="1">
        <f t="array" ref="M455">_xlfn.IFS(L455&gt;49,"Old",L455&lt;18,"Kid",AND(L455&gt;=18,L455&lt;=50),"Young")</f>
        <v>Young</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cm="1">
        <f t="array" ref="M456">_xlfn.IFS(L456&gt;49,"Old",L456&lt;18,"Kid",AND(L456&gt;=18,L456&lt;=50),"Young")</f>
        <v>Young</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cm="1">
        <f t="array" ref="M457">_xlfn.IFS(L457&gt;49,"Old",L457&lt;18,"Kid",AND(L457&gt;=18,L457&lt;=50),"Young")</f>
        <v>Old</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cm="1">
        <f t="array" ref="M458">_xlfn.IFS(L458&gt;49,"Old",L458&lt;18,"Kid",AND(L458&gt;=18,L458&lt;=50),"Young")</f>
        <v>Old</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cm="1">
        <f t="array" ref="M459">_xlfn.IFS(L459&gt;49,"Old",L459&lt;18,"Kid",AND(L459&gt;=18,L459&lt;=50),"Young")</f>
        <v>Old</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cm="1">
        <f t="array" ref="M460">_xlfn.IFS(L460&gt;49,"Old",L460&lt;18,"Kid",AND(L460&gt;=18,L460&lt;=50),"Young")</f>
        <v>Young</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cm="1">
        <f t="array" ref="M461">_xlfn.IFS(L461&gt;49,"Old",L461&lt;18,"Kid",AND(L461&gt;=18,L461&lt;=50),"Young")</f>
        <v>Young</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cm="1">
        <f t="array" ref="M462">_xlfn.IFS(L462&gt;49,"Old",L462&lt;18,"Kid",AND(L462&gt;=18,L462&lt;=50),"Young")</f>
        <v>Young</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cm="1">
        <f t="array" ref="M463">_xlfn.IFS(L463&gt;49,"Old",L463&lt;18,"Kid",AND(L463&gt;=18,L463&lt;=50),"Young")</f>
        <v>Young</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cm="1">
        <f t="array" ref="M464">_xlfn.IFS(L464&gt;49,"Old",L464&lt;18,"Kid",AND(L464&gt;=18,L464&lt;=50),"Young")</f>
        <v>Young</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cm="1">
        <f t="array" ref="M465">_xlfn.IFS(L465&gt;49,"Old",L465&lt;18,"Kid",AND(L465&gt;=18,L465&lt;=50),"Young")</f>
        <v>Young</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cm="1">
        <f t="array" ref="M466">_xlfn.IFS(L466&gt;49,"Old",L466&lt;18,"Kid",AND(L466&gt;=18,L466&lt;=50),"Young")</f>
        <v>Young</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cm="1">
        <f t="array" ref="M467">_xlfn.IFS(L467&gt;49,"Old",L467&lt;18,"Kid",AND(L467&gt;=18,L467&lt;=50),"Young")</f>
        <v>Old</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cm="1">
        <f t="array" ref="M468">_xlfn.IFS(L468&gt;49,"Old",L468&lt;18,"Kid",AND(L468&gt;=18,L468&lt;=50),"Young")</f>
        <v>Young</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cm="1">
        <f t="array" ref="M469">_xlfn.IFS(L469&gt;49,"Old",L469&lt;18,"Kid",AND(L469&gt;=18,L469&lt;=50),"Young")</f>
        <v>Young</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cm="1">
        <f t="array" ref="M470">_xlfn.IFS(L470&gt;49,"Old",L470&lt;18,"Kid",AND(L470&gt;=18,L470&lt;=50),"Young")</f>
        <v>Young</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cm="1">
        <f t="array" ref="M471">_xlfn.IFS(L471&gt;49,"Old",L471&lt;18,"Kid",AND(L471&gt;=18,L471&lt;=50),"Young")</f>
        <v>Old</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cm="1">
        <f t="array" ref="M472">_xlfn.IFS(L472&gt;49,"Old",L472&lt;18,"Kid",AND(L472&gt;=18,L472&lt;=50),"Young")</f>
        <v>Young</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cm="1">
        <f t="array" ref="M473">_xlfn.IFS(L473&gt;49,"Old",L473&lt;18,"Kid",AND(L473&gt;=18,L473&lt;=50),"Young")</f>
        <v>Young</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cm="1">
        <f t="array" ref="M474">_xlfn.IFS(L474&gt;49,"Old",L474&lt;18,"Kid",AND(L474&gt;=18,L474&lt;=50),"Young")</f>
        <v>Young</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cm="1">
        <f t="array" ref="M475">_xlfn.IFS(L475&gt;49,"Old",L475&lt;18,"Kid",AND(L475&gt;=18,L475&lt;=50),"Young")</f>
        <v>Young</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cm="1">
        <f t="array" ref="M476">_xlfn.IFS(L476&gt;49,"Old",L476&lt;18,"Kid",AND(L476&gt;=18,L476&lt;=50),"Young")</f>
        <v>Young</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cm="1">
        <f t="array" ref="M477">_xlfn.IFS(L477&gt;49,"Old",L477&lt;18,"Kid",AND(L477&gt;=18,L477&lt;=50),"Young")</f>
        <v>Old</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cm="1">
        <f t="array" ref="M478">_xlfn.IFS(L478&gt;49,"Old",L478&lt;18,"Kid",AND(L478&gt;=18,L478&lt;=50),"Young")</f>
        <v>Young</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cm="1">
        <f t="array" ref="M479">_xlfn.IFS(L479&gt;49,"Old",L479&lt;18,"Kid",AND(L479&gt;=18,L479&lt;=50),"Young")</f>
        <v>Old</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cm="1">
        <f t="array" ref="M480">_xlfn.IFS(L480&gt;49,"Old",L480&lt;18,"Kid",AND(L480&gt;=18,L480&lt;=50),"Young")</f>
        <v>Young</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cm="1">
        <f t="array" ref="M481">_xlfn.IFS(L481&gt;49,"Old",L481&lt;18,"Kid",AND(L481&gt;=18,L481&lt;=50),"Young")</f>
        <v>Young</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cm="1">
        <f t="array" ref="M482">_xlfn.IFS(L482&gt;49,"Old",L482&lt;18,"Kid",AND(L482&gt;=18,L482&lt;=50),"Young")</f>
        <v>Young</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cm="1">
        <f t="array" ref="M483">_xlfn.IFS(L483&gt;49,"Old",L483&lt;18,"Kid",AND(L483&gt;=18,L483&lt;=50),"Young")</f>
        <v>Young</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cm="1">
        <f t="array" ref="M484">_xlfn.IFS(L484&gt;49,"Old",L484&lt;18,"Kid",AND(L484&gt;=18,L484&lt;=50),"Young")</f>
        <v>Young</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cm="1">
        <f t="array" ref="M485">_xlfn.IFS(L485&gt;49,"Old",L485&lt;18,"Kid",AND(L485&gt;=18,L485&lt;=50),"Young")</f>
        <v>Old</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cm="1">
        <f t="array" ref="M486">_xlfn.IFS(L486&gt;49,"Old",L486&lt;18,"Kid",AND(L486&gt;=18,L486&lt;=50),"Young")</f>
        <v>Young</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cm="1">
        <f t="array" ref="M487">_xlfn.IFS(L487&gt;49,"Old",L487&lt;18,"Kid",AND(L487&gt;=18,L487&lt;=50),"Young")</f>
        <v>Young</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cm="1">
        <f t="array" ref="M488">_xlfn.IFS(L488&gt;49,"Old",L488&lt;18,"Kid",AND(L488&gt;=18,L488&lt;=50),"Young")</f>
        <v>Old</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cm="1">
        <f t="array" ref="M489">_xlfn.IFS(L489&gt;49,"Old",L489&lt;18,"Kid",AND(L489&gt;=18,L489&lt;=50),"Young")</f>
        <v>Young</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cm="1">
        <f t="array" ref="M490">_xlfn.IFS(L490&gt;49,"Old",L490&lt;18,"Kid",AND(L490&gt;=18,L490&lt;=50),"Young")</f>
        <v>Young</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cm="1">
        <f t="array" ref="M491">_xlfn.IFS(L491&gt;49,"Old",L491&lt;18,"Kid",AND(L491&gt;=18,L491&lt;=50),"Young")</f>
        <v>Young</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cm="1">
        <f t="array" ref="M492">_xlfn.IFS(L492&gt;49,"Old",L492&lt;18,"Kid",AND(L492&gt;=18,L492&lt;=50),"Young")</f>
        <v>Young</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cm="1">
        <f t="array" ref="M493">_xlfn.IFS(L493&gt;49,"Old",L493&lt;18,"Kid",AND(L493&gt;=18,L493&lt;=50),"Young")</f>
        <v>Young</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cm="1">
        <f t="array" ref="M494">_xlfn.IFS(L494&gt;49,"Old",L494&lt;18,"Kid",AND(L494&gt;=18,L494&lt;=50),"Young")</f>
        <v>Young</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cm="1">
        <f t="array" ref="M495">_xlfn.IFS(L495&gt;49,"Old",L495&lt;18,"Kid",AND(L495&gt;=18,L495&lt;=50),"Young")</f>
        <v>Old</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cm="1">
        <f t="array" ref="M496">_xlfn.IFS(L496&gt;49,"Old",L496&lt;18,"Kid",AND(L496&gt;=18,L496&lt;=50),"Young")</f>
        <v>Old</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cm="1">
        <f t="array" ref="M497">_xlfn.IFS(L497&gt;49,"Old",L497&lt;18,"Kid",AND(L497&gt;=18,L497&lt;=50),"Young")</f>
        <v>Old</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cm="1">
        <f t="array" ref="M498">_xlfn.IFS(L498&gt;49,"Old",L498&lt;18,"Kid",AND(L498&gt;=18,L498&lt;=50),"Young")</f>
        <v>Young</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cm="1">
        <f t="array" ref="M499">_xlfn.IFS(L499&gt;49,"Old",L499&lt;18,"Kid",AND(L499&gt;=18,L499&lt;=50),"Young")</f>
        <v>Young</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cm="1">
        <f t="array" ref="M500">_xlfn.IFS(L500&gt;49,"Old",L500&lt;18,"Kid",AND(L500&gt;=18,L500&lt;=50),"Young")</f>
        <v>Young</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cm="1">
        <f t="array" ref="M501">_xlfn.IFS(L501&gt;49,"Old",L501&lt;18,"Kid",AND(L501&gt;=18,L501&lt;=50),"Young")</f>
        <v>Young</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cm="1">
        <f t="array" ref="M502">_xlfn.IFS(L502&gt;49,"Old",L502&lt;18,"Kid",AND(L502&gt;=18,L502&lt;=50),"Young")</f>
        <v>Young</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cm="1">
        <f t="array" ref="M503">_xlfn.IFS(L503&gt;49,"Old",L503&lt;18,"Kid",AND(L503&gt;=18,L503&lt;=50),"Young")</f>
        <v>Young</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cm="1">
        <f t="array" ref="M504">_xlfn.IFS(L504&gt;49,"Old",L504&lt;18,"Kid",AND(L504&gt;=18,L504&lt;=50),"Young")</f>
        <v>Young</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cm="1">
        <f t="array" ref="M505">_xlfn.IFS(L505&gt;49,"Old",L505&lt;18,"Kid",AND(L505&gt;=18,L505&lt;=50),"Young")</f>
        <v>Young</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cm="1">
        <f t="array" ref="M506">_xlfn.IFS(L506&gt;49,"Old",L506&lt;18,"Kid",AND(L506&gt;=18,L506&lt;=50),"Young")</f>
        <v>Young</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cm="1">
        <f t="array" ref="M507">_xlfn.IFS(L507&gt;49,"Old",L507&lt;18,"Kid",AND(L507&gt;=18,L507&lt;=50),"Young")</f>
        <v>Young</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cm="1">
        <f t="array" ref="M508">_xlfn.IFS(L508&gt;49,"Old",L508&lt;18,"Kid",AND(L508&gt;=18,L508&lt;=50),"Young")</f>
        <v>Young</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cm="1">
        <f t="array" ref="M509">_xlfn.IFS(L509&gt;49,"Old",L509&lt;18,"Kid",AND(L509&gt;=18,L509&lt;=50),"Young")</f>
        <v>Old</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cm="1">
        <f t="array" ref="M510">_xlfn.IFS(L510&gt;49,"Old",L510&lt;18,"Kid",AND(L510&gt;=18,L510&lt;=50),"Young")</f>
        <v>Young</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cm="1">
        <f t="array" ref="M511">_xlfn.IFS(L511&gt;49,"Old",L511&lt;18,"Kid",AND(L511&gt;=18,L511&lt;=50),"Young")</f>
        <v>Young</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cm="1">
        <f t="array" ref="M512">_xlfn.IFS(L512&gt;49,"Old",L512&lt;18,"Kid",AND(L512&gt;=18,L512&lt;=50),"Young")</f>
        <v>Young</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cm="1">
        <f t="array" ref="M513">_xlfn.IFS(L513&gt;49,"Old",L513&lt;18,"Kid",AND(L513&gt;=18,L513&lt;=50),"Young")</f>
        <v>Old</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cm="1">
        <f t="array" ref="M514">_xlfn.IFS(L514&gt;49,"Old",L514&lt;18,"Kid",AND(L514&gt;=18,L514&lt;=50),"Young")</f>
        <v>Young</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cm="1">
        <f t="array" ref="M515">_xlfn.IFS(L515&gt;49,"Old",L515&lt;18,"Kid",AND(L515&gt;=18,L515&lt;=50),"Young")</f>
        <v>Old</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cm="1">
        <f t="array" ref="M516">_xlfn.IFS(L516&gt;49,"Old",L516&lt;18,"Kid",AND(L516&gt;=18,L516&lt;=50),"Young")</f>
        <v>Young</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cm="1">
        <f t="array" ref="M517">_xlfn.IFS(L517&gt;49,"Old",L517&lt;18,"Kid",AND(L517&gt;=18,L517&lt;=50),"Young")</f>
        <v>Young</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cm="1">
        <f t="array" ref="M518">_xlfn.IFS(L518&gt;49,"Old",L518&lt;18,"Kid",AND(L518&gt;=18,L518&lt;=50),"Young")</f>
        <v>Young</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cm="1">
        <f t="array" ref="M519">_xlfn.IFS(L519&gt;49,"Old",L519&lt;18,"Kid",AND(L519&gt;=18,L519&lt;=50),"Young")</f>
        <v>Young</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cm="1">
        <f t="array" ref="M520">_xlfn.IFS(L520&gt;49,"Old",L520&lt;18,"Kid",AND(L520&gt;=18,L520&lt;=50),"Young")</f>
        <v>Young</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cm="1">
        <f t="array" ref="M521">_xlfn.IFS(L521&gt;49,"Old",L521&lt;18,"Kid",AND(L521&gt;=18,L521&lt;=50),"Young")</f>
        <v>Old</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cm="1">
        <f t="array" ref="M522">_xlfn.IFS(L522&gt;49,"Old",L522&lt;18,"Kid",AND(L522&gt;=18,L522&lt;=50),"Young")</f>
        <v>Young</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cm="1">
        <f t="array" ref="M523">_xlfn.IFS(L523&gt;49,"Old",L523&lt;18,"Kid",AND(L523&gt;=18,L523&lt;=50),"Young")</f>
        <v>Old</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cm="1">
        <f t="array" ref="M524">_xlfn.IFS(L524&gt;49,"Old",L524&lt;18,"Kid",AND(L524&gt;=18,L524&lt;=50),"Young")</f>
        <v>Young</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cm="1">
        <f t="array" ref="M525">_xlfn.IFS(L525&gt;49,"Old",L525&lt;18,"Kid",AND(L525&gt;=18,L525&lt;=50),"Young")</f>
        <v>Young</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cm="1">
        <f t="array" ref="M526">_xlfn.IFS(L526&gt;49,"Old",L526&lt;18,"Kid",AND(L526&gt;=18,L526&lt;=50),"Young")</f>
        <v>Old</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cm="1">
        <f t="array" ref="M527">_xlfn.IFS(L527&gt;49,"Old",L527&lt;18,"Kid",AND(L527&gt;=18,L527&lt;=50),"Young")</f>
        <v>Old</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cm="1">
        <f t="array" ref="M528">_xlfn.IFS(L528&gt;49,"Old",L528&lt;18,"Kid",AND(L528&gt;=18,L528&lt;=50),"Young")</f>
        <v>Young</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cm="1">
        <f t="array" ref="M529">_xlfn.IFS(L529&gt;49,"Old",L529&lt;18,"Kid",AND(L529&gt;=18,L529&lt;=50),"Young")</f>
        <v>Young</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cm="1">
        <f t="array" ref="M530">_xlfn.IFS(L530&gt;49,"Old",L530&lt;18,"Kid",AND(L530&gt;=18,L530&lt;=50),"Young")</f>
        <v>Young</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cm="1">
        <f t="array" ref="M531">_xlfn.IFS(L531&gt;49,"Old",L531&lt;18,"Kid",AND(L531&gt;=18,L531&lt;=50),"Young")</f>
        <v>Old</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cm="1">
        <f t="array" ref="M532">_xlfn.IFS(L532&gt;49,"Old",L532&lt;18,"Kid",AND(L532&gt;=18,L532&lt;=50),"Young")</f>
        <v>Young</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cm="1">
        <f t="array" ref="M533">_xlfn.IFS(L533&gt;49,"Old",L533&lt;18,"Kid",AND(L533&gt;=18,L533&lt;=50),"Young")</f>
        <v>Young</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cm="1">
        <f t="array" ref="M534">_xlfn.IFS(L534&gt;49,"Old",L534&lt;18,"Kid",AND(L534&gt;=18,L534&lt;=50),"Young")</f>
        <v>Young</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cm="1">
        <f t="array" ref="M535">_xlfn.IFS(L535&gt;49,"Old",L535&lt;18,"Kid",AND(L535&gt;=18,L535&lt;=50),"Young")</f>
        <v>Old</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cm="1">
        <f t="array" ref="M536">_xlfn.IFS(L536&gt;49,"Old",L536&lt;18,"Kid",AND(L536&gt;=18,L536&lt;=50),"Young")</f>
        <v>Old</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cm="1">
        <f t="array" ref="M537">_xlfn.IFS(L537&gt;49,"Old",L537&lt;18,"Kid",AND(L537&gt;=18,L537&lt;=50),"Young")</f>
        <v>Young</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cm="1">
        <f t="array" ref="M538">_xlfn.IFS(L538&gt;49,"Old",L538&lt;18,"Kid",AND(L538&gt;=18,L538&lt;=50),"Young")</f>
        <v>Young</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cm="1">
        <f t="array" ref="M539">_xlfn.IFS(L539&gt;49,"Old",L539&lt;18,"Kid",AND(L539&gt;=18,L539&lt;=50),"Young")</f>
        <v>Young</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cm="1">
        <f t="array" ref="M540">_xlfn.IFS(L540&gt;49,"Old",L540&lt;18,"Kid",AND(L540&gt;=18,L540&lt;=50),"Young")</f>
        <v>Young</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cm="1">
        <f t="array" ref="M541">_xlfn.IFS(L541&gt;49,"Old",L541&lt;18,"Kid",AND(L541&gt;=18,L541&lt;=50),"Young")</f>
        <v>Young</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cm="1">
        <f t="array" ref="M542">_xlfn.IFS(L542&gt;49,"Old",L542&lt;18,"Kid",AND(L542&gt;=18,L542&lt;=50),"Young")</f>
        <v>Old</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cm="1">
        <f t="array" ref="M543">_xlfn.IFS(L543&gt;49,"Old",L543&lt;18,"Kid",AND(L543&gt;=18,L543&lt;=50),"Young")</f>
        <v>Young</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cm="1">
        <f t="array" ref="M544">_xlfn.IFS(L544&gt;49,"Old",L544&lt;18,"Kid",AND(L544&gt;=18,L544&lt;=50),"Young")</f>
        <v>Young</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cm="1">
        <f t="array" ref="M545">_xlfn.IFS(L545&gt;49,"Old",L545&lt;18,"Kid",AND(L545&gt;=18,L545&lt;=50),"Young")</f>
        <v>Old</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cm="1">
        <f t="array" ref="M546">_xlfn.IFS(L546&gt;49,"Old",L546&lt;18,"Kid",AND(L546&gt;=18,L546&lt;=50),"Young")</f>
        <v>Young</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cm="1">
        <f t="array" ref="M547">_xlfn.IFS(L547&gt;49,"Old",L547&lt;18,"Kid",AND(L547&gt;=18,L547&lt;=50),"Young")</f>
        <v>Young</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cm="1">
        <f t="array" ref="M548">_xlfn.IFS(L548&gt;49,"Old",L548&lt;18,"Kid",AND(L548&gt;=18,L548&lt;=50),"Young")</f>
        <v>Young</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cm="1">
        <f t="array" ref="M549">_xlfn.IFS(L549&gt;49,"Old",L549&lt;18,"Kid",AND(L549&gt;=18,L549&lt;=50),"Young")</f>
        <v>Old</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cm="1">
        <f t="array" ref="M550">_xlfn.IFS(L550&gt;49,"Old",L550&lt;18,"Kid",AND(L550&gt;=18,L550&lt;=50),"Young")</f>
        <v>Young</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cm="1">
        <f t="array" ref="M551">_xlfn.IFS(L551&gt;49,"Old",L551&lt;18,"Kid",AND(L551&gt;=18,L551&lt;=50),"Young")</f>
        <v>Young</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cm="1">
        <f t="array" ref="M552">_xlfn.IFS(L552&gt;49,"Old",L552&lt;18,"Kid",AND(L552&gt;=18,L552&lt;=50),"Young")</f>
        <v>Young</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cm="1">
        <f t="array" ref="M553">_xlfn.IFS(L553&gt;49,"Old",L553&lt;18,"Kid",AND(L553&gt;=18,L553&lt;=50),"Young")</f>
        <v>Old</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cm="1">
        <f t="array" ref="M554">_xlfn.IFS(L554&gt;49,"Old",L554&lt;18,"Kid",AND(L554&gt;=18,L554&lt;=50),"Young")</f>
        <v>Old</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cm="1">
        <f t="array" ref="M555">_xlfn.IFS(L555&gt;49,"Old",L555&lt;18,"Kid",AND(L555&gt;=18,L555&lt;=50),"Young")</f>
        <v>Old</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cm="1">
        <f t="array" ref="M556">_xlfn.IFS(L556&gt;49,"Old",L556&lt;18,"Kid",AND(L556&gt;=18,L556&lt;=50),"Young")</f>
        <v>Young</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cm="1">
        <f t="array" ref="M557">_xlfn.IFS(L557&gt;49,"Old",L557&lt;18,"Kid",AND(L557&gt;=18,L557&lt;=50),"Young")</f>
        <v>Young</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cm="1">
        <f t="array" ref="M558">_xlfn.IFS(L558&gt;49,"Old",L558&lt;18,"Kid",AND(L558&gt;=18,L558&lt;=50),"Young")</f>
        <v>Young</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cm="1">
        <f t="array" ref="M559">_xlfn.IFS(L559&gt;49,"Old",L559&lt;18,"Kid",AND(L559&gt;=18,L559&lt;=50),"Young")</f>
        <v>Young</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cm="1">
        <f t="array" ref="M560">_xlfn.IFS(L560&gt;49,"Old",L560&lt;18,"Kid",AND(L560&gt;=18,L560&lt;=50),"Young")</f>
        <v>Young</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cm="1">
        <f t="array" ref="M561">_xlfn.IFS(L561&gt;49,"Old",L561&lt;18,"Kid",AND(L561&gt;=18,L561&lt;=50),"Young")</f>
        <v>Old</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cm="1">
        <f t="array" ref="M562">_xlfn.IFS(L562&gt;49,"Old",L562&lt;18,"Kid",AND(L562&gt;=18,L562&lt;=50),"Young")</f>
        <v>Young</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cm="1">
        <f t="array" ref="M563">_xlfn.IFS(L563&gt;49,"Old",L563&lt;18,"Kid",AND(L563&gt;=18,L563&lt;=50),"Young")</f>
        <v>Young</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cm="1">
        <f t="array" ref="M564">_xlfn.IFS(L564&gt;49,"Old",L564&lt;18,"Kid",AND(L564&gt;=18,L564&lt;=50),"Young")</f>
        <v>Young</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cm="1">
        <f t="array" ref="M565">_xlfn.IFS(L565&gt;49,"Old",L565&lt;18,"Kid",AND(L565&gt;=18,L565&lt;=50),"Young")</f>
        <v>Young</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cm="1">
        <f t="array" ref="M566">_xlfn.IFS(L566&gt;49,"Old",L566&lt;18,"Kid",AND(L566&gt;=18,L566&lt;=50),"Young")</f>
        <v>Young</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cm="1">
        <f t="array" ref="M567">_xlfn.IFS(L567&gt;49,"Old",L567&lt;18,"Kid",AND(L567&gt;=18,L567&lt;=50),"Young")</f>
        <v>Old</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cm="1">
        <f t="array" ref="M568">_xlfn.IFS(L568&gt;49,"Old",L568&lt;18,"Kid",AND(L568&gt;=18,L568&lt;=50),"Young")</f>
        <v>Old</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cm="1">
        <f t="array" ref="M569">_xlfn.IFS(L569&gt;49,"Old",L569&lt;18,"Kid",AND(L569&gt;=18,L569&lt;=50),"Young")</f>
        <v>Young</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cm="1">
        <f t="array" ref="M570">_xlfn.IFS(L570&gt;49,"Old",L570&lt;18,"Kid",AND(L570&gt;=18,L570&lt;=50),"Young")</f>
        <v>Young</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cm="1">
        <f t="array" ref="M571">_xlfn.IFS(L571&gt;49,"Old",L571&lt;18,"Kid",AND(L571&gt;=18,L571&lt;=50),"Young")</f>
        <v>Old</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cm="1">
        <f t="array" ref="M572">_xlfn.IFS(L572&gt;49,"Old",L572&lt;18,"Kid",AND(L572&gt;=18,L572&lt;=50),"Young")</f>
        <v>Old</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cm="1">
        <f t="array" ref="M573">_xlfn.IFS(L573&gt;49,"Old",L573&lt;18,"Kid",AND(L573&gt;=18,L573&lt;=50),"Young")</f>
        <v>Old</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cm="1">
        <f t="array" ref="M574">_xlfn.IFS(L574&gt;49,"Old",L574&lt;18,"Kid",AND(L574&gt;=18,L574&lt;=50),"Young")</f>
        <v>Young</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cm="1">
        <f t="array" ref="M575">_xlfn.IFS(L575&gt;49,"Old",L575&lt;18,"Kid",AND(L575&gt;=18,L575&lt;=50),"Young")</f>
        <v>Old</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cm="1">
        <f t="array" ref="M576">_xlfn.IFS(L576&gt;49,"Old",L576&lt;18,"Kid",AND(L576&gt;=18,L576&lt;=50),"Young")</f>
        <v>Young</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cm="1">
        <f t="array" ref="M577">_xlfn.IFS(L577&gt;49,"Old",L577&lt;18,"Kid",AND(L577&gt;=18,L577&lt;=50),"Young")</f>
        <v>Old</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cm="1">
        <f t="array" ref="M578">_xlfn.IFS(L578&gt;49,"Old",L578&lt;18,"Kid",AND(L578&gt;=18,L578&lt;=50),"Young")</f>
        <v>Young</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cm="1">
        <f t="array" ref="M579">_xlfn.IFS(L579&gt;49,"Old",L579&lt;18,"Kid",AND(L579&gt;=18,L579&lt;=50),"Young")</f>
        <v>Young</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cm="1">
        <f t="array" ref="M580">_xlfn.IFS(L580&gt;49,"Old",L580&lt;18,"Kid",AND(L580&gt;=18,L580&lt;=50),"Young")</f>
        <v>Old</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cm="1">
        <f t="array" ref="M581">_xlfn.IFS(L581&gt;49,"Old",L581&lt;18,"Kid",AND(L581&gt;=18,L581&lt;=50),"Young")</f>
        <v>Young</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cm="1">
        <f t="array" ref="M582">_xlfn.IFS(L582&gt;49,"Old",L582&lt;18,"Kid",AND(L582&gt;=18,L582&lt;=50),"Young")</f>
        <v>Old</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cm="1">
        <f t="array" ref="M583">_xlfn.IFS(L583&gt;49,"Old",L583&lt;18,"Kid",AND(L583&gt;=18,L583&lt;=50),"Young")</f>
        <v>Young</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cm="1">
        <f t="array" ref="M584">_xlfn.IFS(L584&gt;49,"Old",L584&lt;18,"Kid",AND(L584&gt;=18,L584&lt;=50),"Young")</f>
        <v>Young</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cm="1">
        <f t="array" ref="M585">_xlfn.IFS(L585&gt;49,"Old",L585&lt;18,"Kid",AND(L585&gt;=18,L585&lt;=50),"Young")</f>
        <v>Old</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cm="1">
        <f t="array" ref="M586">_xlfn.IFS(L586&gt;49,"Old",L586&lt;18,"Kid",AND(L586&gt;=18,L586&lt;=50),"Young")</f>
        <v>Young</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cm="1">
        <f t="array" ref="M587">_xlfn.IFS(L587&gt;49,"Old",L587&lt;18,"Kid",AND(L587&gt;=18,L587&lt;=50),"Young")</f>
        <v>Young</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cm="1">
        <f t="array" ref="M588">_xlfn.IFS(L588&gt;49,"Old",L588&lt;18,"Kid",AND(L588&gt;=18,L588&lt;=50),"Young")</f>
        <v>Old</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cm="1">
        <f t="array" ref="M589">_xlfn.IFS(L589&gt;49,"Old",L589&lt;18,"Kid",AND(L589&gt;=18,L589&lt;=50),"Young")</f>
        <v>Young</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cm="1">
        <f t="array" ref="M590">_xlfn.IFS(L590&gt;49,"Old",L590&lt;18,"Kid",AND(L590&gt;=18,L590&lt;=50),"Young")</f>
        <v>Old</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cm="1">
        <f t="array" ref="M591">_xlfn.IFS(L591&gt;49,"Old",L591&lt;18,"Kid",AND(L591&gt;=18,L591&lt;=50),"Young")</f>
        <v>Old</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cm="1">
        <f t="array" ref="M592">_xlfn.IFS(L592&gt;49,"Old",L592&lt;18,"Kid",AND(L592&gt;=18,L592&lt;=50),"Young")</f>
        <v>Young</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cm="1">
        <f t="array" ref="M593">_xlfn.IFS(L593&gt;49,"Old",L593&lt;18,"Kid",AND(L593&gt;=18,L593&lt;=50),"Young")</f>
        <v>Old</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cm="1">
        <f t="array" ref="M594">_xlfn.IFS(L594&gt;49,"Old",L594&lt;18,"Kid",AND(L594&gt;=18,L594&lt;=50),"Young")</f>
        <v>Young</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cm="1">
        <f t="array" ref="M595">_xlfn.IFS(L595&gt;49,"Old",L595&lt;18,"Kid",AND(L595&gt;=18,L595&lt;=50),"Young")</f>
        <v>Young</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cm="1">
        <f t="array" ref="M596">_xlfn.IFS(L596&gt;49,"Old",L596&lt;18,"Kid",AND(L596&gt;=18,L596&lt;=50),"Young")</f>
        <v>Old</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cm="1">
        <f t="array" ref="M597">_xlfn.IFS(L597&gt;49,"Old",L597&lt;18,"Kid",AND(L597&gt;=18,L597&lt;=50),"Young")</f>
        <v>Old</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cm="1">
        <f t="array" ref="M598">_xlfn.IFS(L598&gt;49,"Old",L598&lt;18,"Kid",AND(L598&gt;=18,L598&lt;=50),"Young")</f>
        <v>Young</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cm="1">
        <f t="array" ref="M599">_xlfn.IFS(L599&gt;49,"Old",L599&lt;18,"Kid",AND(L599&gt;=18,L599&lt;=50),"Young")</f>
        <v>Old</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cm="1">
        <f t="array" ref="M600">_xlfn.IFS(L600&gt;49,"Old",L600&lt;18,"Kid",AND(L600&gt;=18,L600&lt;=50),"Young")</f>
        <v>Young</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cm="1">
        <f t="array" ref="M601">_xlfn.IFS(L601&gt;49,"Old",L601&lt;18,"Kid",AND(L601&gt;=18,L601&lt;=50),"Young")</f>
        <v>Old</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cm="1">
        <f t="array" ref="M602">_xlfn.IFS(L602&gt;49,"Old",L602&lt;18,"Kid",AND(L602&gt;=18,L602&lt;=50),"Young")</f>
        <v>Young</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cm="1">
        <f t="array" ref="M603">_xlfn.IFS(L603&gt;49,"Old",L603&lt;18,"Kid",AND(L603&gt;=18,L603&lt;=50),"Young")</f>
        <v>Young</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cm="1">
        <f t="array" ref="M604">_xlfn.IFS(L604&gt;49,"Old",L604&lt;18,"Kid",AND(L604&gt;=18,L604&lt;=50),"Young")</f>
        <v>Old</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cm="1">
        <f t="array" ref="M605">_xlfn.IFS(L605&gt;49,"Old",L605&lt;18,"Kid",AND(L605&gt;=18,L605&lt;=50),"Young")</f>
        <v>Young</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cm="1">
        <f t="array" ref="M606">_xlfn.IFS(L606&gt;49,"Old",L606&lt;18,"Kid",AND(L606&gt;=18,L606&lt;=50),"Young")</f>
        <v>Young</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cm="1">
        <f t="array" ref="M607">_xlfn.IFS(L607&gt;49,"Old",L607&lt;18,"Kid",AND(L607&gt;=18,L607&lt;=50),"Young")</f>
        <v>Old</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cm="1">
        <f t="array" ref="M608">_xlfn.IFS(L608&gt;49,"Old",L608&lt;18,"Kid",AND(L608&gt;=18,L608&lt;=50),"Young")</f>
        <v>Young</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cm="1">
        <f t="array" ref="M609">_xlfn.IFS(L609&gt;49,"Old",L609&lt;18,"Kid",AND(L609&gt;=18,L609&lt;=50),"Young")</f>
        <v>Young</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cm="1">
        <f t="array" ref="M610">_xlfn.IFS(L610&gt;49,"Old",L610&lt;18,"Kid",AND(L610&gt;=18,L610&lt;=50),"Young")</f>
        <v>Old</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cm="1">
        <f t="array" ref="M611">_xlfn.IFS(L611&gt;49,"Old",L611&lt;18,"Kid",AND(L611&gt;=18,L611&lt;=50),"Young")</f>
        <v>Young</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cm="1">
        <f t="array" ref="M612">_xlfn.IFS(L612&gt;49,"Old",L612&lt;18,"Kid",AND(L612&gt;=18,L612&lt;=50),"Young")</f>
        <v>Young</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cm="1">
        <f t="array" ref="M613">_xlfn.IFS(L613&gt;49,"Old",L613&lt;18,"Kid",AND(L613&gt;=18,L613&lt;=50),"Young")</f>
        <v>Young</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cm="1">
        <f t="array" ref="M614">_xlfn.IFS(L614&gt;49,"Old",L614&lt;18,"Kid",AND(L614&gt;=18,L614&lt;=50),"Young")</f>
        <v>Young</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cm="1">
        <f t="array" ref="M615">_xlfn.IFS(L615&gt;49,"Old",L615&lt;18,"Kid",AND(L615&gt;=18,L615&lt;=50),"Young")</f>
        <v>Young</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cm="1">
        <f t="array" ref="M616">_xlfn.IFS(L616&gt;49,"Old",L616&lt;18,"Kid",AND(L616&gt;=18,L616&lt;=50),"Young")</f>
        <v>Young</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cm="1">
        <f t="array" ref="M617">_xlfn.IFS(L617&gt;49,"Old",L617&lt;18,"Kid",AND(L617&gt;=18,L617&lt;=50),"Young")</f>
        <v>Young</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cm="1">
        <f t="array" ref="M618">_xlfn.IFS(L618&gt;49,"Old",L618&lt;18,"Kid",AND(L618&gt;=18,L618&lt;=50),"Young")</f>
        <v>Young</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cm="1">
        <f t="array" ref="M619">_xlfn.IFS(L619&gt;49,"Old",L619&lt;18,"Kid",AND(L619&gt;=18,L619&lt;=50),"Young")</f>
        <v>Young</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cm="1">
        <f t="array" ref="M620">_xlfn.IFS(L620&gt;49,"Old",L620&lt;18,"Kid",AND(L620&gt;=18,L620&lt;=50),"Young")</f>
        <v>Young</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cm="1">
        <f t="array" ref="M621">_xlfn.IFS(L621&gt;49,"Old",L621&lt;18,"Kid",AND(L621&gt;=18,L621&lt;=50),"Young")</f>
        <v>Young</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cm="1">
        <f t="array" ref="M622">_xlfn.IFS(L622&gt;49,"Old",L622&lt;18,"Kid",AND(L622&gt;=18,L622&lt;=50),"Young")</f>
        <v>Young</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cm="1">
        <f t="array" ref="M623">_xlfn.IFS(L623&gt;49,"Old",L623&lt;18,"Kid",AND(L623&gt;=18,L623&lt;=50),"Young")</f>
        <v>Old</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cm="1">
        <f t="array" ref="M624">_xlfn.IFS(L624&gt;49,"Old",L624&lt;18,"Kid",AND(L624&gt;=18,L624&lt;=50),"Young")</f>
        <v>Young</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cm="1">
        <f t="array" ref="M625">_xlfn.IFS(L625&gt;49,"Old",L625&lt;18,"Kid",AND(L625&gt;=18,L625&lt;=50),"Young")</f>
        <v>Old</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cm="1">
        <f t="array" ref="M626">_xlfn.IFS(L626&gt;49,"Old",L626&lt;18,"Kid",AND(L626&gt;=18,L626&lt;=50),"Young")</f>
        <v>Young</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cm="1">
        <f t="array" ref="M627">_xlfn.IFS(L627&gt;49,"Old",L627&lt;18,"Kid",AND(L627&gt;=18,L627&lt;=50),"Young")</f>
        <v>Old</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cm="1">
        <f t="array" ref="M628">_xlfn.IFS(L628&gt;49,"Old",L628&lt;18,"Kid",AND(L628&gt;=18,L628&lt;=50),"Young")</f>
        <v>Young</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cm="1">
        <f t="array" ref="M629">_xlfn.IFS(L629&gt;49,"Old",L629&lt;18,"Kid",AND(L629&gt;=18,L629&lt;=50),"Young")</f>
        <v>Old</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cm="1">
        <f t="array" ref="M630">_xlfn.IFS(L630&gt;49,"Old",L630&lt;18,"Kid",AND(L630&gt;=18,L630&lt;=50),"Young")</f>
        <v>Old</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cm="1">
        <f t="array" ref="M631">_xlfn.IFS(L631&gt;49,"Old",L631&lt;18,"Kid",AND(L631&gt;=18,L631&lt;=50),"Young")</f>
        <v>Young</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cm="1">
        <f t="array" ref="M632">_xlfn.IFS(L632&gt;49,"Old",L632&lt;18,"Kid",AND(L632&gt;=18,L632&lt;=50),"Young")</f>
        <v>Young</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cm="1">
        <f t="array" ref="M633">_xlfn.IFS(L633&gt;49,"Old",L633&lt;18,"Kid",AND(L633&gt;=18,L633&lt;=50),"Young")</f>
        <v>Young</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cm="1">
        <f t="array" ref="M634">_xlfn.IFS(L634&gt;49,"Old",L634&lt;18,"Kid",AND(L634&gt;=18,L634&lt;=50),"Young")</f>
        <v>Young</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cm="1">
        <f t="array" ref="M635">_xlfn.IFS(L635&gt;49,"Old",L635&lt;18,"Kid",AND(L635&gt;=18,L635&lt;=50),"Young")</f>
        <v>Young</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cm="1">
        <f t="array" ref="M636">_xlfn.IFS(L636&gt;49,"Old",L636&lt;18,"Kid",AND(L636&gt;=18,L636&lt;=50),"Young")</f>
        <v>Old</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cm="1">
        <f t="array" ref="M637">_xlfn.IFS(L637&gt;49,"Old",L637&lt;18,"Kid",AND(L637&gt;=18,L637&lt;=50),"Young")</f>
        <v>Young</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cm="1">
        <f t="array" ref="M638">_xlfn.IFS(L638&gt;49,"Old",L638&lt;18,"Kid",AND(L638&gt;=18,L638&lt;=50),"Young")</f>
        <v>Young</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cm="1">
        <f t="array" ref="M639">_xlfn.IFS(L639&gt;49,"Old",L639&lt;18,"Kid",AND(L639&gt;=18,L639&lt;=50),"Young")</f>
        <v>Young</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cm="1">
        <f t="array" ref="M640">_xlfn.IFS(L640&gt;49,"Old",L640&lt;18,"Kid",AND(L640&gt;=18,L640&lt;=50),"Young")</f>
        <v>Old</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cm="1">
        <f t="array" ref="M641">_xlfn.IFS(L641&gt;49,"Old",L641&lt;18,"Kid",AND(L641&gt;=18,L641&lt;=50),"Young")</f>
        <v>Old</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cm="1">
        <f t="array" ref="M642">_xlfn.IFS(L642&gt;49,"Old",L642&lt;18,"Kid",AND(L642&gt;=18,L642&lt;=50),"Young")</f>
        <v>Old</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cm="1">
        <f t="array" ref="M643">_xlfn.IFS(L643&gt;49,"Old",L643&lt;18,"Kid",AND(L643&gt;=18,L643&lt;=50),"Young")</f>
        <v>Old</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cm="1">
        <f t="array" ref="M644">_xlfn.IFS(L644&gt;49,"Old",L644&lt;18,"Kid",AND(L644&gt;=18,L644&lt;=50),"Young")</f>
        <v>Old</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cm="1">
        <f t="array" ref="M645">_xlfn.IFS(L645&gt;49,"Old",L645&lt;18,"Kid",AND(L645&gt;=18,L645&lt;=50),"Young")</f>
        <v>Young</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cm="1">
        <f t="array" ref="M646">_xlfn.IFS(L646&gt;49,"Old",L646&lt;18,"Kid",AND(L646&gt;=18,L646&lt;=50),"Young")</f>
        <v>Young</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cm="1">
        <f t="array" ref="M647">_xlfn.IFS(L647&gt;49,"Old",L647&lt;18,"Kid",AND(L647&gt;=18,L647&lt;=50),"Young")</f>
        <v>Young</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cm="1">
        <f t="array" ref="M648">_xlfn.IFS(L648&gt;49,"Old",L648&lt;18,"Kid",AND(L648&gt;=18,L648&lt;=50),"Young")</f>
        <v>Young</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cm="1">
        <f t="array" ref="M649">_xlfn.IFS(L649&gt;49,"Old",L649&lt;18,"Kid",AND(L649&gt;=18,L649&lt;=50),"Young")</f>
        <v>Young</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cm="1">
        <f t="array" ref="M650">_xlfn.IFS(L650&gt;49,"Old",L650&lt;18,"Kid",AND(L650&gt;=18,L650&lt;=50),"Young")</f>
        <v>Old</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cm="1">
        <f t="array" ref="M651">_xlfn.IFS(L651&gt;49,"Old",L651&lt;18,"Kid",AND(L651&gt;=18,L651&lt;=50),"Young")</f>
        <v>Young</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cm="1">
        <f t="array" ref="M652">_xlfn.IFS(L652&gt;49,"Old",L652&lt;18,"Kid",AND(L652&gt;=18,L652&lt;=50),"Young")</f>
        <v>Old</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cm="1">
        <f t="array" ref="M653">_xlfn.IFS(L653&gt;49,"Old",L653&lt;18,"Kid",AND(L653&gt;=18,L653&lt;=50),"Young")</f>
        <v>Young</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cm="1">
        <f t="array" ref="M654">_xlfn.IFS(L654&gt;49,"Old",L654&lt;18,"Kid",AND(L654&gt;=18,L654&lt;=50),"Young")</f>
        <v>Young</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cm="1">
        <f t="array" ref="M655">_xlfn.IFS(L655&gt;49,"Old",L655&lt;18,"Kid",AND(L655&gt;=18,L655&lt;=50),"Young")</f>
        <v>Young</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cm="1">
        <f t="array" ref="M656">_xlfn.IFS(L656&gt;49,"Old",L656&lt;18,"Kid",AND(L656&gt;=18,L656&lt;=50),"Young")</f>
        <v>Young</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cm="1">
        <f t="array" ref="M657">_xlfn.IFS(L657&gt;49,"Old",L657&lt;18,"Kid",AND(L657&gt;=18,L657&lt;=50),"Young")</f>
        <v>Young</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cm="1">
        <f t="array" ref="M658">_xlfn.IFS(L658&gt;49,"Old",L658&lt;18,"Kid",AND(L658&gt;=18,L658&lt;=50),"Young")</f>
        <v>Old</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cm="1">
        <f t="array" ref="M659">_xlfn.IFS(L659&gt;49,"Old",L659&lt;18,"Kid",AND(L659&gt;=18,L659&lt;=50),"Young")</f>
        <v>Young</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cm="1">
        <f t="array" ref="M660">_xlfn.IFS(L660&gt;49,"Old",L660&lt;18,"Kid",AND(L660&gt;=18,L660&lt;=50),"Young")</f>
        <v>Young</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cm="1">
        <f t="array" ref="M661">_xlfn.IFS(L661&gt;49,"Old",L661&lt;18,"Kid",AND(L661&gt;=18,L661&lt;=50),"Young")</f>
        <v>Old</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cm="1">
        <f t="array" ref="M662">_xlfn.IFS(L662&gt;49,"Old",L662&lt;18,"Kid",AND(L662&gt;=18,L662&lt;=50),"Young")</f>
        <v>Young</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cm="1">
        <f t="array" ref="M663">_xlfn.IFS(L663&gt;49,"Old",L663&lt;18,"Kid",AND(L663&gt;=18,L663&lt;=50),"Young")</f>
        <v>Young</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cm="1">
        <f t="array" ref="M664">_xlfn.IFS(L664&gt;49,"Old",L664&lt;18,"Kid",AND(L664&gt;=18,L664&lt;=50),"Young")</f>
        <v>Young</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cm="1">
        <f t="array" ref="M665">_xlfn.IFS(L665&gt;49,"Old",L665&lt;18,"Kid",AND(L665&gt;=18,L665&lt;=50),"Young")</f>
        <v>Young</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cm="1">
        <f t="array" ref="M666">_xlfn.IFS(L666&gt;49,"Old",L666&lt;18,"Kid",AND(L666&gt;=18,L666&lt;=50),"Young")</f>
        <v>Young</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cm="1">
        <f t="array" ref="M667">_xlfn.IFS(L667&gt;49,"Old",L667&lt;18,"Kid",AND(L667&gt;=18,L667&lt;=50),"Young")</f>
        <v>Young</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cm="1">
        <f t="array" ref="M668">_xlfn.IFS(L668&gt;49,"Old",L668&lt;18,"Kid",AND(L668&gt;=18,L668&lt;=50),"Young")</f>
        <v>Young</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cm="1">
        <f t="array" ref="M669">_xlfn.IFS(L669&gt;49,"Old",L669&lt;18,"Kid",AND(L669&gt;=18,L669&lt;=50),"Young")</f>
        <v>Old</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cm="1">
        <f t="array" ref="M670">_xlfn.IFS(L670&gt;49,"Old",L670&lt;18,"Kid",AND(L670&gt;=18,L670&lt;=50),"Young")</f>
        <v>Young</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cm="1">
        <f t="array" ref="M671">_xlfn.IFS(L671&gt;49,"Old",L671&lt;18,"Kid",AND(L671&gt;=18,L671&lt;=50),"Young")</f>
        <v>Old</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cm="1">
        <f t="array" ref="M672">_xlfn.IFS(L672&gt;49,"Old",L672&lt;18,"Kid",AND(L672&gt;=18,L672&lt;=50),"Young")</f>
        <v>Old</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cm="1">
        <f t="array" ref="M673">_xlfn.IFS(L673&gt;49,"Old",L673&lt;18,"Kid",AND(L673&gt;=18,L673&lt;=50),"Young")</f>
        <v>Young</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cm="1">
        <f t="array" ref="M674">_xlfn.IFS(L674&gt;49,"Old",L674&lt;18,"Kid",AND(L674&gt;=18,L674&lt;=50),"Young")</f>
        <v>Young</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cm="1">
        <f t="array" ref="M675">_xlfn.IFS(L675&gt;49,"Old",L675&lt;18,"Kid",AND(L675&gt;=18,L675&lt;=50),"Young")</f>
        <v>Young</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cm="1">
        <f t="array" ref="M676">_xlfn.IFS(L676&gt;49,"Old",L676&lt;18,"Kid",AND(L676&gt;=18,L676&lt;=50),"Young")</f>
        <v>Young</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cm="1">
        <f t="array" ref="M677">_xlfn.IFS(L677&gt;49,"Old",L677&lt;18,"Kid",AND(L677&gt;=18,L677&lt;=50),"Young")</f>
        <v>Young</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cm="1">
        <f t="array" ref="M678">_xlfn.IFS(L678&gt;49,"Old",L678&lt;18,"Kid",AND(L678&gt;=18,L678&lt;=50),"Young")</f>
        <v>Young</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cm="1">
        <f t="array" ref="M679">_xlfn.IFS(L679&gt;49,"Old",L679&lt;18,"Kid",AND(L679&gt;=18,L679&lt;=50),"Young")</f>
        <v>Young</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cm="1">
        <f t="array" ref="M680">_xlfn.IFS(L680&gt;49,"Old",L680&lt;18,"Kid",AND(L680&gt;=18,L680&lt;=50),"Young")</f>
        <v>Old</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cm="1">
        <f t="array" ref="M681">_xlfn.IFS(L681&gt;49,"Old",L681&lt;18,"Kid",AND(L681&gt;=18,L681&lt;=50),"Young")</f>
        <v>Old</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cm="1">
        <f t="array" ref="M682">_xlfn.IFS(L682&gt;49,"Old",L682&lt;18,"Kid",AND(L682&gt;=18,L682&lt;=50),"Young")</f>
        <v>Young</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cm="1">
        <f t="array" ref="M683">_xlfn.IFS(L683&gt;49,"Old",L683&lt;18,"Kid",AND(L683&gt;=18,L683&lt;=50),"Young")</f>
        <v>Young</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cm="1">
        <f t="array" ref="M684">_xlfn.IFS(L684&gt;49,"Old",L684&lt;18,"Kid",AND(L684&gt;=18,L684&lt;=50),"Young")</f>
        <v>Old</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cm="1">
        <f t="array" ref="M685">_xlfn.IFS(L685&gt;49,"Old",L685&lt;18,"Kid",AND(L685&gt;=18,L685&lt;=50),"Young")</f>
        <v>Young</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cm="1">
        <f t="array" ref="M686">_xlfn.IFS(L686&gt;49,"Old",L686&lt;18,"Kid",AND(L686&gt;=18,L686&lt;=50),"Young")</f>
        <v>Young</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cm="1">
        <f t="array" ref="M687">_xlfn.IFS(L687&gt;49,"Old",L687&lt;18,"Kid",AND(L687&gt;=18,L687&lt;=50),"Young")</f>
        <v>Old</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cm="1">
        <f t="array" ref="M688">_xlfn.IFS(L688&gt;49,"Old",L688&lt;18,"Kid",AND(L688&gt;=18,L688&lt;=50),"Young")</f>
        <v>Old</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cm="1">
        <f t="array" ref="M689">_xlfn.IFS(L689&gt;49,"Old",L689&lt;18,"Kid",AND(L689&gt;=18,L689&lt;=50),"Young")</f>
        <v>Young</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cm="1">
        <f t="array" ref="M690">_xlfn.IFS(L690&gt;49,"Old",L690&lt;18,"Kid",AND(L690&gt;=18,L690&lt;=50),"Young")</f>
        <v>Young</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cm="1">
        <f t="array" ref="M691">_xlfn.IFS(L691&gt;49,"Old",L691&lt;18,"Kid",AND(L691&gt;=18,L691&lt;=50),"Young")</f>
        <v>Young</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cm="1">
        <f t="array" ref="M692">_xlfn.IFS(L692&gt;49,"Old",L692&lt;18,"Kid",AND(L692&gt;=18,L692&lt;=50),"Young")</f>
        <v>Young</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cm="1">
        <f t="array" ref="M693">_xlfn.IFS(L693&gt;49,"Old",L693&lt;18,"Kid",AND(L693&gt;=18,L693&lt;=50),"Young")</f>
        <v>Young</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cm="1">
        <f t="array" ref="M694">_xlfn.IFS(L694&gt;49,"Old",L694&lt;18,"Kid",AND(L694&gt;=18,L694&lt;=50),"Young")</f>
        <v>Young</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cm="1">
        <f t="array" ref="M695">_xlfn.IFS(L695&gt;49,"Old",L695&lt;18,"Kid",AND(L695&gt;=18,L695&lt;=50),"Young")</f>
        <v>Young</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cm="1">
        <f t="array" ref="M696">_xlfn.IFS(L696&gt;49,"Old",L696&lt;18,"Kid",AND(L696&gt;=18,L696&lt;=50),"Young")</f>
        <v>Young</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cm="1">
        <f t="array" ref="M697">_xlfn.IFS(L697&gt;49,"Old",L697&lt;18,"Kid",AND(L697&gt;=18,L697&lt;=50),"Young")</f>
        <v>Young</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cm="1">
        <f t="array" ref="M698">_xlfn.IFS(L698&gt;49,"Old",L698&lt;18,"Kid",AND(L698&gt;=18,L698&lt;=50),"Young")</f>
        <v>Young</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cm="1">
        <f t="array" ref="M699">_xlfn.IFS(L699&gt;49,"Old",L699&lt;18,"Kid",AND(L699&gt;=18,L699&lt;=50),"Young")</f>
        <v>Young</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cm="1">
        <f t="array" ref="M700">_xlfn.IFS(L700&gt;49,"Old",L700&lt;18,"Kid",AND(L700&gt;=18,L700&lt;=50),"Young")</f>
        <v>Young</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cm="1">
        <f t="array" ref="M701">_xlfn.IFS(L701&gt;49,"Old",L701&lt;18,"Kid",AND(L701&gt;=18,L701&lt;=50),"Young")</f>
        <v>Young</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cm="1">
        <f t="array" ref="M702">_xlfn.IFS(L702&gt;49,"Old",L702&lt;18,"Kid",AND(L702&gt;=18,L702&lt;=50),"Young")</f>
        <v>Old</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cm="1">
        <f t="array" ref="M703">_xlfn.IFS(L703&gt;49,"Old",L703&lt;18,"Kid",AND(L703&gt;=18,L703&lt;=50),"Young")</f>
        <v>Young</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cm="1">
        <f t="array" ref="M704">_xlfn.IFS(L704&gt;49,"Old",L704&lt;18,"Kid",AND(L704&gt;=18,L704&lt;=50),"Young")</f>
        <v>Young</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cm="1">
        <f t="array" ref="M705">_xlfn.IFS(L705&gt;49,"Old",L705&lt;18,"Kid",AND(L705&gt;=18,L705&lt;=50),"Young")</f>
        <v>Young</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cm="1">
        <f t="array" ref="M706">_xlfn.IFS(L706&gt;49,"Old",L706&lt;18,"Kid",AND(L706&gt;=18,L706&lt;=50),"Young")</f>
        <v>Young</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cm="1">
        <f t="array" ref="M707">_xlfn.IFS(L707&gt;49,"Old",L707&lt;18,"Kid",AND(L707&gt;=18,L707&lt;=50),"Young")</f>
        <v>Old</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cm="1">
        <f t="array" ref="M708">_xlfn.IFS(L708&gt;49,"Old",L708&lt;18,"Kid",AND(L708&gt;=18,L708&lt;=50),"Young")</f>
        <v>Young</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cm="1">
        <f t="array" ref="M709">_xlfn.IFS(L709&gt;49,"Old",L709&lt;18,"Kid",AND(L709&gt;=18,L709&lt;=50),"Young")</f>
        <v>Young</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cm="1">
        <f t="array" ref="M710">_xlfn.IFS(L710&gt;49,"Old",L710&lt;18,"Kid",AND(L710&gt;=18,L710&lt;=50),"Young")</f>
        <v>Old</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cm="1">
        <f t="array" ref="M711">_xlfn.IFS(L711&gt;49,"Old",L711&lt;18,"Kid",AND(L711&gt;=18,L711&lt;=50),"Young")</f>
        <v>Old</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cm="1">
        <f t="array" ref="M712">_xlfn.IFS(L712&gt;49,"Old",L712&lt;18,"Kid",AND(L712&gt;=18,L712&lt;=50),"Young")</f>
        <v>Young</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cm="1">
        <f t="array" ref="M713">_xlfn.IFS(L713&gt;49,"Old",L713&lt;18,"Kid",AND(L713&gt;=18,L713&lt;=50),"Young")</f>
        <v>Old</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cm="1">
        <f t="array" ref="M714">_xlfn.IFS(L714&gt;49,"Old",L714&lt;18,"Kid",AND(L714&gt;=18,L714&lt;=50),"Young")</f>
        <v>Old</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cm="1">
        <f t="array" ref="M715">_xlfn.IFS(L715&gt;49,"Old",L715&lt;18,"Kid",AND(L715&gt;=18,L715&lt;=50),"Young")</f>
        <v>Young</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cm="1">
        <f t="array" ref="M716">_xlfn.IFS(L716&gt;49,"Old",L716&lt;18,"Kid",AND(L716&gt;=18,L716&lt;=50),"Young")</f>
        <v>Young</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cm="1">
        <f t="array" ref="M717">_xlfn.IFS(L717&gt;49,"Old",L717&lt;18,"Kid",AND(L717&gt;=18,L717&lt;=50),"Young")</f>
        <v>Young</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cm="1">
        <f t="array" ref="M718">_xlfn.IFS(L718&gt;49,"Old",L718&lt;18,"Kid",AND(L718&gt;=18,L718&lt;=50),"Young")</f>
        <v>Young</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cm="1">
        <f t="array" ref="M719">_xlfn.IFS(L719&gt;49,"Old",L719&lt;18,"Kid",AND(L719&gt;=18,L719&lt;=50),"Young")</f>
        <v>Young</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cm="1">
        <f t="array" ref="M720">_xlfn.IFS(L720&gt;49,"Old",L720&lt;18,"Kid",AND(L720&gt;=18,L720&lt;=50),"Young")</f>
        <v>Young</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cm="1">
        <f t="array" ref="M721">_xlfn.IFS(L721&gt;49,"Old",L721&lt;18,"Kid",AND(L721&gt;=18,L721&lt;=50),"Young")</f>
        <v>Young</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cm="1">
        <f t="array" ref="M722">_xlfn.IFS(L722&gt;49,"Old",L722&lt;18,"Kid",AND(L722&gt;=18,L722&lt;=50),"Young")</f>
        <v>Old</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cm="1">
        <f t="array" ref="M723">_xlfn.IFS(L723&gt;49,"Old",L723&lt;18,"Kid",AND(L723&gt;=18,L723&lt;=50),"Young")</f>
        <v>Young</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cm="1">
        <f t="array" ref="M724">_xlfn.IFS(L724&gt;49,"Old",L724&lt;18,"Kid",AND(L724&gt;=18,L724&lt;=50),"Young")</f>
        <v>Old</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cm="1">
        <f t="array" ref="M725">_xlfn.IFS(L725&gt;49,"Old",L725&lt;18,"Kid",AND(L725&gt;=18,L725&lt;=50),"Young")</f>
        <v>Young</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cm="1">
        <f t="array" ref="M726">_xlfn.IFS(L726&gt;49,"Old",L726&lt;18,"Kid",AND(L726&gt;=18,L726&lt;=50),"Young")</f>
        <v>Young</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cm="1">
        <f t="array" ref="M727">_xlfn.IFS(L727&gt;49,"Old",L727&lt;18,"Kid",AND(L727&gt;=18,L727&lt;=50),"Young")</f>
        <v>Young</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cm="1">
        <f t="array" ref="M728">_xlfn.IFS(L728&gt;49,"Old",L728&lt;18,"Kid",AND(L728&gt;=18,L728&lt;=50),"Young")</f>
        <v>Old</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cm="1">
        <f t="array" ref="M729">_xlfn.IFS(L729&gt;49,"Old",L729&lt;18,"Kid",AND(L729&gt;=18,L729&lt;=50),"Young")</f>
        <v>Young</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cm="1">
        <f t="array" ref="M730">_xlfn.IFS(L730&gt;49,"Old",L730&lt;18,"Kid",AND(L730&gt;=18,L730&lt;=50),"Young")</f>
        <v>Young</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cm="1">
        <f t="array" ref="M731">_xlfn.IFS(L731&gt;49,"Old",L731&lt;18,"Kid",AND(L731&gt;=18,L731&lt;=50),"Young")</f>
        <v>Young</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cm="1">
        <f t="array" ref="M732">_xlfn.IFS(L732&gt;49,"Old",L732&lt;18,"Kid",AND(L732&gt;=18,L732&lt;=50),"Young")</f>
        <v>Young</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cm="1">
        <f t="array" ref="M733">_xlfn.IFS(L733&gt;49,"Old",L733&lt;18,"Kid",AND(L733&gt;=18,L733&lt;=50),"Young")</f>
        <v>Young</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cm="1">
        <f t="array" ref="M734">_xlfn.IFS(L734&gt;49,"Old",L734&lt;18,"Kid",AND(L734&gt;=18,L734&lt;=50),"Young")</f>
        <v>Young</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cm="1">
        <f t="array" ref="M735">_xlfn.IFS(L735&gt;49,"Old",L735&lt;18,"Kid",AND(L735&gt;=18,L735&lt;=50),"Young")</f>
        <v>Young</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cm="1">
        <f t="array" ref="M736">_xlfn.IFS(L736&gt;49,"Old",L736&lt;18,"Kid",AND(L736&gt;=18,L736&lt;=50),"Young")</f>
        <v>Young</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cm="1">
        <f t="array" ref="M737">_xlfn.IFS(L737&gt;49,"Old",L737&lt;18,"Kid",AND(L737&gt;=18,L737&lt;=50),"Young")</f>
        <v>Young</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cm="1">
        <f t="array" ref="M738">_xlfn.IFS(L738&gt;49,"Old",L738&lt;18,"Kid",AND(L738&gt;=18,L738&lt;=50),"Young")</f>
        <v>Young</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cm="1">
        <f t="array" ref="M739">_xlfn.IFS(L739&gt;49,"Old",L739&lt;18,"Kid",AND(L739&gt;=18,L739&lt;=50),"Young")</f>
        <v>Young</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cm="1">
        <f t="array" ref="M740">_xlfn.IFS(L740&gt;49,"Old",L740&lt;18,"Kid",AND(L740&gt;=18,L740&lt;=50),"Young")</f>
        <v>Young</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cm="1">
        <f t="array" ref="M741">_xlfn.IFS(L741&gt;49,"Old",L741&lt;18,"Kid",AND(L741&gt;=18,L741&lt;=50),"Young")</f>
        <v>Old</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cm="1">
        <f t="array" ref="M742">_xlfn.IFS(L742&gt;49,"Old",L742&lt;18,"Kid",AND(L742&gt;=18,L742&lt;=50),"Young")</f>
        <v>Young</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cm="1">
        <f t="array" ref="M743">_xlfn.IFS(L743&gt;49,"Old",L743&lt;18,"Kid",AND(L743&gt;=18,L743&lt;=50),"Young")</f>
        <v>Young</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cm="1">
        <f t="array" ref="M744">_xlfn.IFS(L744&gt;49,"Old",L744&lt;18,"Kid",AND(L744&gt;=18,L744&lt;=50),"Young")</f>
        <v>Young</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cm="1">
        <f t="array" ref="M745">_xlfn.IFS(L745&gt;49,"Old",L745&lt;18,"Kid",AND(L745&gt;=18,L745&lt;=50),"Young")</f>
        <v>Young</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cm="1">
        <f t="array" ref="M746">_xlfn.IFS(L746&gt;49,"Old",L746&lt;18,"Kid",AND(L746&gt;=18,L746&lt;=50),"Young")</f>
        <v>Old</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cm="1">
        <f t="array" ref="M747">_xlfn.IFS(L747&gt;49,"Old",L747&lt;18,"Kid",AND(L747&gt;=18,L747&lt;=50),"Young")</f>
        <v>Young</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cm="1">
        <f t="array" ref="M748">_xlfn.IFS(L748&gt;49,"Old",L748&lt;18,"Kid",AND(L748&gt;=18,L748&lt;=50),"Young")</f>
        <v>Old</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cm="1">
        <f t="array" ref="M749">_xlfn.IFS(L749&gt;49,"Old",L749&lt;18,"Kid",AND(L749&gt;=18,L749&lt;=50),"Young")</f>
        <v>Young</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cm="1">
        <f t="array" ref="M750">_xlfn.IFS(L750&gt;49,"Old",L750&lt;18,"Kid",AND(L750&gt;=18,L750&lt;=50),"Young")</f>
        <v>Old</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cm="1">
        <f t="array" ref="M751">_xlfn.IFS(L751&gt;49,"Old",L751&lt;18,"Kid",AND(L751&gt;=18,L751&lt;=50),"Young")</f>
        <v>Old</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cm="1">
        <f t="array" ref="M752">_xlfn.IFS(L752&gt;49,"Old",L752&lt;18,"Kid",AND(L752&gt;=18,L752&lt;=50),"Young")</f>
        <v>Old</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cm="1">
        <f t="array" ref="M753">_xlfn.IFS(L753&gt;49,"Old",L753&lt;18,"Kid",AND(L753&gt;=18,L753&lt;=50),"Young")</f>
        <v>Young</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cm="1">
        <f t="array" ref="M754">_xlfn.IFS(L754&gt;49,"Old",L754&lt;18,"Kid",AND(L754&gt;=18,L754&lt;=50),"Young")</f>
        <v>Young</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cm="1">
        <f t="array" ref="M755">_xlfn.IFS(L755&gt;49,"Old",L755&lt;18,"Kid",AND(L755&gt;=18,L755&lt;=50),"Young")</f>
        <v>Young</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cm="1">
        <f t="array" ref="M756">_xlfn.IFS(L756&gt;49,"Old",L756&lt;18,"Kid",AND(L756&gt;=18,L756&lt;=50),"Young")</f>
        <v>Old</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cm="1">
        <f t="array" ref="M757">_xlfn.IFS(L757&gt;49,"Old",L757&lt;18,"Kid",AND(L757&gt;=18,L757&lt;=50),"Young")</f>
        <v>Old</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cm="1">
        <f t="array" ref="M758">_xlfn.IFS(L758&gt;49,"Old",L758&lt;18,"Kid",AND(L758&gt;=18,L758&lt;=50),"Young")</f>
        <v>Young</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cm="1">
        <f t="array" ref="M759">_xlfn.IFS(L759&gt;49,"Old",L759&lt;18,"Kid",AND(L759&gt;=18,L759&lt;=50),"Young")</f>
        <v>Old</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cm="1">
        <f t="array" ref="M760">_xlfn.IFS(L760&gt;49,"Old",L760&lt;18,"Kid",AND(L760&gt;=18,L760&lt;=50),"Young")</f>
        <v>Young</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cm="1">
        <f t="array" ref="M761">_xlfn.IFS(L761&gt;49,"Old",L761&lt;18,"Kid",AND(L761&gt;=18,L761&lt;=50),"Young")</f>
        <v>Young</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cm="1">
        <f t="array" ref="M762">_xlfn.IFS(L762&gt;49,"Old",L762&lt;18,"Kid",AND(L762&gt;=18,L762&lt;=50),"Young")</f>
        <v>Old</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cm="1">
        <f t="array" ref="M763">_xlfn.IFS(L763&gt;49,"Old",L763&lt;18,"Kid",AND(L763&gt;=18,L763&lt;=50),"Young")</f>
        <v>Old</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cm="1">
        <f t="array" ref="M764">_xlfn.IFS(L764&gt;49,"Old",L764&lt;18,"Kid",AND(L764&gt;=18,L764&lt;=50),"Young")</f>
        <v>Young</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cm="1">
        <f t="array" ref="M765">_xlfn.IFS(L765&gt;49,"Old",L765&lt;18,"Kid",AND(L765&gt;=18,L765&lt;=50),"Young")</f>
        <v>Young</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cm="1">
        <f t="array" ref="M766">_xlfn.IFS(L766&gt;49,"Old",L766&lt;18,"Kid",AND(L766&gt;=18,L766&lt;=50),"Young")</f>
        <v>Young</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cm="1">
        <f t="array" ref="M767">_xlfn.IFS(L767&gt;49,"Old",L767&lt;18,"Kid",AND(L767&gt;=18,L767&lt;=50),"Young")</f>
        <v>Young</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cm="1">
        <f t="array" ref="M768">_xlfn.IFS(L768&gt;49,"Old",L768&lt;18,"Kid",AND(L768&gt;=18,L768&lt;=50),"Young")</f>
        <v>Young</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cm="1">
        <f t="array" ref="M769">_xlfn.IFS(L769&gt;49,"Old",L769&lt;18,"Kid",AND(L769&gt;=18,L769&lt;=50),"Young")</f>
        <v>Old</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cm="1">
        <f t="array" ref="M770">_xlfn.IFS(L770&gt;49,"Old",L770&lt;18,"Kid",AND(L770&gt;=18,L770&lt;=50),"Young")</f>
        <v>Young</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cm="1">
        <f t="array" ref="M771">_xlfn.IFS(L771&gt;49,"Old",L771&lt;18,"Kid",AND(L771&gt;=18,L771&lt;=50),"Young")</f>
        <v>Young</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cm="1">
        <f t="array" ref="M772">_xlfn.IFS(L772&gt;49,"Old",L772&lt;18,"Kid",AND(L772&gt;=18,L772&lt;=50),"Young")</f>
        <v>Old</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cm="1">
        <f t="array" ref="M773">_xlfn.IFS(L773&gt;49,"Old",L773&lt;18,"Kid",AND(L773&gt;=18,L773&lt;=50),"Young")</f>
        <v>Young</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cm="1">
        <f t="array" ref="M774">_xlfn.IFS(L774&gt;49,"Old",L774&lt;18,"Kid",AND(L774&gt;=18,L774&lt;=50),"Young")</f>
        <v>Young</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cm="1">
        <f t="array" ref="M775">_xlfn.IFS(L775&gt;49,"Old",L775&lt;18,"Kid",AND(L775&gt;=18,L775&lt;=50),"Young")</f>
        <v>Young</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cm="1">
        <f t="array" ref="M776">_xlfn.IFS(L776&gt;49,"Old",L776&lt;18,"Kid",AND(L776&gt;=18,L776&lt;=50),"Young")</f>
        <v>Young</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cm="1">
        <f t="array" ref="M777">_xlfn.IFS(L777&gt;49,"Old",L777&lt;18,"Kid",AND(L777&gt;=18,L777&lt;=50),"Young")</f>
        <v>Old</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cm="1">
        <f t="array" ref="M778">_xlfn.IFS(L778&gt;49,"Old",L778&lt;18,"Kid",AND(L778&gt;=18,L778&lt;=50),"Young")</f>
        <v>Old</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cm="1">
        <f t="array" ref="M779">_xlfn.IFS(L779&gt;49,"Old",L779&lt;18,"Kid",AND(L779&gt;=18,L779&lt;=50),"Young")</f>
        <v>Young</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cm="1">
        <f t="array" ref="M780">_xlfn.IFS(L780&gt;49,"Old",L780&lt;18,"Kid",AND(L780&gt;=18,L780&lt;=50),"Young")</f>
        <v>Young</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cm="1">
        <f t="array" ref="M781">_xlfn.IFS(L781&gt;49,"Old",L781&lt;18,"Kid",AND(L781&gt;=18,L781&lt;=50),"Young")</f>
        <v>Old</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cm="1">
        <f t="array" ref="M782">_xlfn.IFS(L782&gt;49,"Old",L782&lt;18,"Kid",AND(L782&gt;=18,L782&lt;=50),"Young")</f>
        <v>Old</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cm="1">
        <f t="array" ref="M783">_xlfn.IFS(L783&gt;49,"Old",L783&lt;18,"Kid",AND(L783&gt;=18,L783&lt;=50),"Young")</f>
        <v>Young</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cm="1">
        <f t="array" ref="M784">_xlfn.IFS(L784&gt;49,"Old",L784&lt;18,"Kid",AND(L784&gt;=18,L784&lt;=50),"Young")</f>
        <v>Young</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cm="1">
        <f t="array" ref="M785">_xlfn.IFS(L785&gt;49,"Old",L785&lt;18,"Kid",AND(L785&gt;=18,L785&lt;=50),"Young")</f>
        <v>Young</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cm="1">
        <f t="array" ref="M786">_xlfn.IFS(L786&gt;49,"Old",L786&lt;18,"Kid",AND(L786&gt;=18,L786&lt;=50),"Young")</f>
        <v>Old</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cm="1">
        <f t="array" ref="M787">_xlfn.IFS(L787&gt;49,"Old",L787&lt;18,"Kid",AND(L787&gt;=18,L787&lt;=50),"Young")</f>
        <v>Young</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cm="1">
        <f t="array" ref="M788">_xlfn.IFS(L788&gt;49,"Old",L788&lt;18,"Kid",AND(L788&gt;=18,L788&lt;=50),"Young")</f>
        <v>Young</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cm="1">
        <f t="array" ref="M789">_xlfn.IFS(L789&gt;49,"Old",L789&lt;18,"Kid",AND(L789&gt;=18,L789&lt;=50),"Young")</f>
        <v>Old</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cm="1">
        <f t="array" ref="M790">_xlfn.IFS(L790&gt;49,"Old",L790&lt;18,"Kid",AND(L790&gt;=18,L790&lt;=50),"Young")</f>
        <v>Young</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cm="1">
        <f t="array" ref="M791">_xlfn.IFS(L791&gt;49,"Old",L791&lt;18,"Kid",AND(L791&gt;=18,L791&lt;=50),"Young")</f>
        <v>Young</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cm="1">
        <f t="array" ref="M792">_xlfn.IFS(L792&gt;49,"Old",L792&lt;18,"Kid",AND(L792&gt;=18,L792&lt;=50),"Young")</f>
        <v>Old</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cm="1">
        <f t="array" ref="M793">_xlfn.IFS(L793&gt;49,"Old",L793&lt;18,"Kid",AND(L793&gt;=18,L793&lt;=50),"Young")</f>
        <v>Young</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cm="1">
        <f t="array" ref="M794">_xlfn.IFS(L794&gt;49,"Old",L794&lt;18,"Kid",AND(L794&gt;=18,L794&lt;=50),"Young")</f>
        <v>Old</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cm="1">
        <f t="array" ref="M795">_xlfn.IFS(L795&gt;49,"Old",L795&lt;18,"Kid",AND(L795&gt;=18,L795&lt;=50),"Young")</f>
        <v>Old</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cm="1">
        <f t="array" ref="M796">_xlfn.IFS(L796&gt;49,"Old",L796&lt;18,"Kid",AND(L796&gt;=18,L796&lt;=50),"Young")</f>
        <v>Old</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cm="1">
        <f t="array" ref="M797">_xlfn.IFS(L797&gt;49,"Old",L797&lt;18,"Kid",AND(L797&gt;=18,L797&lt;=50),"Young")</f>
        <v>Old</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cm="1">
        <f t="array" ref="M798">_xlfn.IFS(L798&gt;49,"Old",L798&lt;18,"Kid",AND(L798&gt;=18,L798&lt;=50),"Young")</f>
        <v>Old</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cm="1">
        <f t="array" ref="M799">_xlfn.IFS(L799&gt;49,"Old",L799&lt;18,"Kid",AND(L799&gt;=18,L799&lt;=50),"Young")</f>
        <v>Young</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cm="1">
        <f t="array" ref="M800">_xlfn.IFS(L800&gt;49,"Old",L800&lt;18,"Kid",AND(L800&gt;=18,L800&lt;=50),"Young")</f>
        <v>Young</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cm="1">
        <f t="array" ref="M801">_xlfn.IFS(L801&gt;49,"Old",L801&lt;18,"Kid",AND(L801&gt;=18,L801&lt;=50),"Young")</f>
        <v>Young</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cm="1">
        <f t="array" ref="M802">_xlfn.IFS(L802&gt;49,"Old",L802&lt;18,"Kid",AND(L802&gt;=18,L802&lt;=50),"Young")</f>
        <v>Young</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cm="1">
        <f t="array" ref="M803">_xlfn.IFS(L803&gt;49,"Old",L803&lt;18,"Kid",AND(L803&gt;=18,L803&lt;=50),"Young")</f>
        <v>Old</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cm="1">
        <f t="array" ref="M804">_xlfn.IFS(L804&gt;49,"Old",L804&lt;18,"Kid",AND(L804&gt;=18,L804&lt;=50),"Young")</f>
        <v>Young</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cm="1">
        <f t="array" ref="M805">_xlfn.IFS(L805&gt;49,"Old",L805&lt;18,"Kid",AND(L805&gt;=18,L805&lt;=50),"Young")</f>
        <v>Young</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cm="1">
        <f t="array" ref="M806">_xlfn.IFS(L806&gt;49,"Old",L806&lt;18,"Kid",AND(L806&gt;=18,L806&lt;=50),"Young")</f>
        <v>Young</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cm="1">
        <f t="array" ref="M807">_xlfn.IFS(L807&gt;49,"Old",L807&lt;18,"Kid",AND(L807&gt;=18,L807&lt;=50),"Young")</f>
        <v>Young</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cm="1">
        <f t="array" ref="M808">_xlfn.IFS(L808&gt;49,"Old",L808&lt;18,"Kid",AND(L808&gt;=18,L808&lt;=50),"Young")</f>
        <v>Old</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cm="1">
        <f t="array" ref="M809">_xlfn.IFS(L809&gt;49,"Old",L809&lt;18,"Kid",AND(L809&gt;=18,L809&lt;=50),"Young")</f>
        <v>Young</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cm="1">
        <f t="array" ref="M810">_xlfn.IFS(L810&gt;49,"Old",L810&lt;18,"Kid",AND(L810&gt;=18,L810&lt;=50),"Young")</f>
        <v>Old</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cm="1">
        <f t="array" ref="M811">_xlfn.IFS(L811&gt;49,"Old",L811&lt;18,"Kid",AND(L811&gt;=18,L811&lt;=50),"Young")</f>
        <v>Old</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cm="1">
        <f t="array" ref="M812">_xlfn.IFS(L812&gt;49,"Old",L812&lt;18,"Kid",AND(L812&gt;=18,L812&lt;=50),"Young")</f>
        <v>Old</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cm="1">
        <f t="array" ref="M813">_xlfn.IFS(L813&gt;49,"Old",L813&lt;18,"Kid",AND(L813&gt;=18,L813&lt;=50),"Young")</f>
        <v>Young</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cm="1">
        <f t="array" ref="M814">_xlfn.IFS(L814&gt;49,"Old",L814&lt;18,"Kid",AND(L814&gt;=18,L814&lt;=50),"Young")</f>
        <v>Old</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cm="1">
        <f t="array" ref="M815">_xlfn.IFS(L815&gt;49,"Old",L815&lt;18,"Kid",AND(L815&gt;=18,L815&lt;=50),"Young")</f>
        <v>Old</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cm="1">
        <f t="array" ref="M816">_xlfn.IFS(L816&gt;49,"Old",L816&lt;18,"Kid",AND(L816&gt;=18,L816&lt;=50),"Young")</f>
        <v>Old</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cm="1">
        <f t="array" ref="M817">_xlfn.IFS(L817&gt;49,"Old",L817&lt;18,"Kid",AND(L817&gt;=18,L817&lt;=50),"Young")</f>
        <v>Young</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cm="1">
        <f t="array" ref="M818">_xlfn.IFS(L818&gt;49,"Old",L818&lt;18,"Kid",AND(L818&gt;=18,L818&lt;=50),"Young")</f>
        <v>Young</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cm="1">
        <f t="array" ref="M819">_xlfn.IFS(L819&gt;49,"Old",L819&lt;18,"Kid",AND(L819&gt;=18,L819&lt;=50),"Young")</f>
        <v>Young</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cm="1">
        <f t="array" ref="M820">_xlfn.IFS(L820&gt;49,"Old",L820&lt;18,"Kid",AND(L820&gt;=18,L820&lt;=50),"Young")</f>
        <v>Young</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cm="1">
        <f t="array" ref="M821">_xlfn.IFS(L821&gt;49,"Old",L821&lt;18,"Kid",AND(L821&gt;=18,L821&lt;=50),"Young")</f>
        <v>Young</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cm="1">
        <f t="array" ref="M822">_xlfn.IFS(L822&gt;49,"Old",L822&lt;18,"Kid",AND(L822&gt;=18,L822&lt;=50),"Young")</f>
        <v>Young</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cm="1">
        <f t="array" ref="M823">_xlfn.IFS(L823&gt;49,"Old",L823&lt;18,"Kid",AND(L823&gt;=18,L823&lt;=50),"Young")</f>
        <v>Young</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cm="1">
        <f t="array" ref="M824">_xlfn.IFS(L824&gt;49,"Old",L824&lt;18,"Kid",AND(L824&gt;=18,L824&lt;=50),"Young")</f>
        <v>Young</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cm="1">
        <f t="array" ref="M825">_xlfn.IFS(L825&gt;49,"Old",L825&lt;18,"Kid",AND(L825&gt;=18,L825&lt;=50),"Young")</f>
        <v>Old</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cm="1">
        <f t="array" ref="M826">_xlfn.IFS(L826&gt;49,"Old",L826&lt;18,"Kid",AND(L826&gt;=18,L826&lt;=50),"Young")</f>
        <v>Young</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cm="1">
        <f t="array" ref="M827">_xlfn.IFS(L827&gt;49,"Old",L827&lt;18,"Kid",AND(L827&gt;=18,L827&lt;=50),"Young")</f>
        <v>Old</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cm="1">
        <f t="array" ref="M828">_xlfn.IFS(L828&gt;49,"Old",L828&lt;18,"Kid",AND(L828&gt;=18,L828&lt;=50),"Young")</f>
        <v>Young</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cm="1">
        <f t="array" ref="M829">_xlfn.IFS(L829&gt;49,"Old",L829&lt;18,"Kid",AND(L829&gt;=18,L829&lt;=50),"Young")</f>
        <v>Young</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cm="1">
        <f t="array" ref="M830">_xlfn.IFS(L830&gt;49,"Old",L830&lt;18,"Kid",AND(L830&gt;=18,L830&lt;=50),"Young")</f>
        <v>Young</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cm="1">
        <f t="array" ref="M831">_xlfn.IFS(L831&gt;49,"Old",L831&lt;18,"Kid",AND(L831&gt;=18,L831&lt;=50),"Young")</f>
        <v>Old</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cm="1">
        <f t="array" ref="M832">_xlfn.IFS(L832&gt;49,"Old",L832&lt;18,"Kid",AND(L832&gt;=18,L832&lt;=50),"Young")</f>
        <v>Old</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cm="1">
        <f t="array" ref="M833">_xlfn.IFS(L833&gt;49,"Old",L833&lt;18,"Kid",AND(L833&gt;=18,L833&lt;=50),"Young")</f>
        <v>Young</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cm="1">
        <f t="array" ref="M834">_xlfn.IFS(L834&gt;49,"Old",L834&lt;18,"Kid",AND(L834&gt;=18,L834&lt;=50),"Young")</f>
        <v>Young</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cm="1">
        <f t="array" ref="M835">_xlfn.IFS(L835&gt;49,"Old",L835&lt;18,"Kid",AND(L835&gt;=18,L835&lt;=50),"Young")</f>
        <v>Young</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cm="1">
        <f t="array" ref="M836">_xlfn.IFS(L836&gt;49,"Old",L836&lt;18,"Kid",AND(L836&gt;=18,L836&lt;=50),"Young")</f>
        <v>Old</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cm="1">
        <f t="array" ref="M837">_xlfn.IFS(L837&gt;49,"Old",L837&lt;18,"Kid",AND(L837&gt;=18,L837&lt;=50),"Young")</f>
        <v>Young</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cm="1">
        <f t="array" ref="M838">_xlfn.IFS(L838&gt;49,"Old",L838&lt;18,"Kid",AND(L838&gt;=18,L838&lt;=50),"Young")</f>
        <v>Young</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cm="1">
        <f t="array" ref="M839">_xlfn.IFS(L839&gt;49,"Old",L839&lt;18,"Kid",AND(L839&gt;=18,L839&lt;=50),"Young")</f>
        <v>Young</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cm="1">
        <f t="array" ref="M840">_xlfn.IFS(L840&gt;49,"Old",L840&lt;18,"Kid",AND(L840&gt;=18,L840&lt;=50),"Young")</f>
        <v>Young</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cm="1">
        <f t="array" ref="M841">_xlfn.IFS(L841&gt;49,"Old",L841&lt;18,"Kid",AND(L841&gt;=18,L841&lt;=50),"Young")</f>
        <v>Young</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cm="1">
        <f t="array" ref="M842">_xlfn.IFS(L842&gt;49,"Old",L842&lt;18,"Kid",AND(L842&gt;=18,L842&lt;=50),"Young")</f>
        <v>Old</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cm="1">
        <f t="array" ref="M843">_xlfn.IFS(L843&gt;49,"Old",L843&lt;18,"Kid",AND(L843&gt;=18,L843&lt;=50),"Young")</f>
        <v>Old</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cm="1">
        <f t="array" ref="M844">_xlfn.IFS(L844&gt;49,"Old",L844&lt;18,"Kid",AND(L844&gt;=18,L844&lt;=50),"Young")</f>
        <v>Young</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cm="1">
        <f t="array" ref="M845">_xlfn.IFS(L845&gt;49,"Old",L845&lt;18,"Kid",AND(L845&gt;=18,L845&lt;=50),"Young")</f>
        <v>Old</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cm="1">
        <f t="array" ref="M846">_xlfn.IFS(L846&gt;49,"Old",L846&lt;18,"Kid",AND(L846&gt;=18,L846&lt;=50),"Young")</f>
        <v>Old</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cm="1">
        <f t="array" ref="M847">_xlfn.IFS(L847&gt;49,"Old",L847&lt;18,"Kid",AND(L847&gt;=18,L847&lt;=50),"Young")</f>
        <v>Old</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cm="1">
        <f t="array" ref="M848">_xlfn.IFS(L848&gt;49,"Old",L848&lt;18,"Kid",AND(L848&gt;=18,L848&lt;=50),"Young")</f>
        <v>Old</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cm="1">
        <f t="array" ref="M849">_xlfn.IFS(L849&gt;49,"Old",L849&lt;18,"Kid",AND(L849&gt;=18,L849&lt;=50),"Young")</f>
        <v>Young</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cm="1">
        <f t="array" ref="M850">_xlfn.IFS(L850&gt;49,"Old",L850&lt;18,"Kid",AND(L850&gt;=18,L850&lt;=50),"Young")</f>
        <v>Young</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cm="1">
        <f t="array" ref="M851">_xlfn.IFS(L851&gt;49,"Old",L851&lt;18,"Kid",AND(L851&gt;=18,L851&lt;=50),"Young")</f>
        <v>Old</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cm="1">
        <f t="array" ref="M852">_xlfn.IFS(L852&gt;49,"Old",L852&lt;18,"Kid",AND(L852&gt;=18,L852&lt;=50),"Young")</f>
        <v>Old</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cm="1">
        <f t="array" ref="M853">_xlfn.IFS(L853&gt;49,"Old",L853&lt;18,"Kid",AND(L853&gt;=18,L853&lt;=50),"Young")</f>
        <v>Young</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cm="1">
        <f t="array" ref="M854">_xlfn.IFS(L854&gt;49,"Old",L854&lt;18,"Kid",AND(L854&gt;=18,L854&lt;=50),"Young")</f>
        <v>Young</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cm="1">
        <f t="array" ref="M855">_xlfn.IFS(L855&gt;49,"Old",L855&lt;18,"Kid",AND(L855&gt;=18,L855&lt;=50),"Young")</f>
        <v>Young</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cm="1">
        <f t="array" ref="M856">_xlfn.IFS(L856&gt;49,"Old",L856&lt;18,"Kid",AND(L856&gt;=18,L856&lt;=50),"Young")</f>
        <v>Young</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cm="1">
        <f t="array" ref="M857">_xlfn.IFS(L857&gt;49,"Old",L857&lt;18,"Kid",AND(L857&gt;=18,L857&lt;=50),"Young")</f>
        <v>Young</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cm="1">
        <f t="array" ref="M858">_xlfn.IFS(L858&gt;49,"Old",L858&lt;18,"Kid",AND(L858&gt;=18,L858&lt;=50),"Young")</f>
        <v>Young</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cm="1">
        <f t="array" ref="M859">_xlfn.IFS(L859&gt;49,"Old",L859&lt;18,"Kid",AND(L859&gt;=18,L859&lt;=50),"Young")</f>
        <v>Young</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cm="1">
        <f t="array" ref="M860">_xlfn.IFS(L860&gt;49,"Old",L860&lt;18,"Kid",AND(L860&gt;=18,L860&lt;=50),"Young")</f>
        <v>Young</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cm="1">
        <f t="array" ref="M861">_xlfn.IFS(L861&gt;49,"Old",L861&lt;18,"Kid",AND(L861&gt;=18,L861&lt;=50),"Young")</f>
        <v>Young</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cm="1">
        <f t="array" ref="M862">_xlfn.IFS(L862&gt;49,"Old",L862&lt;18,"Kid",AND(L862&gt;=18,L862&lt;=50),"Young")</f>
        <v>Young</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cm="1">
        <f t="array" ref="M863">_xlfn.IFS(L863&gt;49,"Old",L863&lt;18,"Kid",AND(L863&gt;=18,L863&lt;=50),"Young")</f>
        <v>Old</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cm="1">
        <f t="array" ref="M864">_xlfn.IFS(L864&gt;49,"Old",L864&lt;18,"Kid",AND(L864&gt;=18,L864&lt;=50),"Young")</f>
        <v>Young</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cm="1">
        <f t="array" ref="M865">_xlfn.IFS(L865&gt;49,"Old",L865&lt;18,"Kid",AND(L865&gt;=18,L865&lt;=50),"Young")</f>
        <v>Young</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cm="1">
        <f t="array" ref="M866">_xlfn.IFS(L866&gt;49,"Old",L866&lt;18,"Kid",AND(L866&gt;=18,L866&lt;=50),"Young")</f>
        <v>Young</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cm="1">
        <f t="array" ref="M867">_xlfn.IFS(L867&gt;49,"Old",L867&lt;18,"Kid",AND(L867&gt;=18,L867&lt;=50),"Young")</f>
        <v>Young</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cm="1">
        <f t="array" ref="M868">_xlfn.IFS(L868&gt;49,"Old",L868&lt;18,"Kid",AND(L868&gt;=18,L868&lt;=50),"Young")</f>
        <v>Old</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cm="1">
        <f t="array" ref="M869">_xlfn.IFS(L869&gt;49,"Old",L869&lt;18,"Kid",AND(L869&gt;=18,L869&lt;=50),"Young")</f>
        <v>Young</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cm="1">
        <f t="array" ref="M870">_xlfn.IFS(L870&gt;49,"Old",L870&lt;18,"Kid",AND(L870&gt;=18,L870&lt;=50),"Young")</f>
        <v>Old</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cm="1">
        <f t="array" ref="M871">_xlfn.IFS(L871&gt;49,"Old",L871&lt;18,"Kid",AND(L871&gt;=18,L871&lt;=50),"Young")</f>
        <v>Young</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cm="1">
        <f t="array" ref="M872">_xlfn.IFS(L872&gt;49,"Old",L872&lt;18,"Kid",AND(L872&gt;=18,L872&lt;=50),"Young")</f>
        <v>Young</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cm="1">
        <f t="array" ref="M873">_xlfn.IFS(L873&gt;49,"Old",L873&lt;18,"Kid",AND(L873&gt;=18,L873&lt;=50),"Young")</f>
        <v>Old</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cm="1">
        <f t="array" ref="M874">_xlfn.IFS(L874&gt;49,"Old",L874&lt;18,"Kid",AND(L874&gt;=18,L874&lt;=50),"Young")</f>
        <v>Old</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cm="1">
        <f t="array" ref="M875">_xlfn.IFS(L875&gt;49,"Old",L875&lt;18,"Kid",AND(L875&gt;=18,L875&lt;=50),"Young")</f>
        <v>Young</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cm="1">
        <f t="array" ref="M876">_xlfn.IFS(L876&gt;49,"Old",L876&lt;18,"Kid",AND(L876&gt;=18,L876&lt;=50),"Young")</f>
        <v>Old</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cm="1">
        <f t="array" ref="M877">_xlfn.IFS(L877&gt;49,"Old",L877&lt;18,"Kid",AND(L877&gt;=18,L877&lt;=50),"Young")</f>
        <v>Young</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cm="1">
        <f t="array" ref="M878">_xlfn.IFS(L878&gt;49,"Old",L878&lt;18,"Kid",AND(L878&gt;=18,L878&lt;=50),"Young")</f>
        <v>Young</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cm="1">
        <f t="array" ref="M879">_xlfn.IFS(L879&gt;49,"Old",L879&lt;18,"Kid",AND(L879&gt;=18,L879&lt;=50),"Young")</f>
        <v>Old</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cm="1">
        <f t="array" ref="M880">_xlfn.IFS(L880&gt;49,"Old",L880&lt;18,"Kid",AND(L880&gt;=18,L880&lt;=50),"Young")</f>
        <v>Old</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cm="1">
        <f t="array" ref="M881">_xlfn.IFS(L881&gt;49,"Old",L881&lt;18,"Kid",AND(L881&gt;=18,L881&lt;=50),"Young")</f>
        <v>Young</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cm="1">
        <f t="array" ref="M882">_xlfn.IFS(L882&gt;49,"Old",L882&lt;18,"Kid",AND(L882&gt;=18,L882&lt;=50),"Young")</f>
        <v>Young</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cm="1">
        <f t="array" ref="M883">_xlfn.IFS(L883&gt;49,"Old",L883&lt;18,"Kid",AND(L883&gt;=18,L883&lt;=50),"Young")</f>
        <v>Old</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cm="1">
        <f t="array" ref="M884">_xlfn.IFS(L884&gt;49,"Old",L884&lt;18,"Kid",AND(L884&gt;=18,L884&lt;=50),"Young")</f>
        <v>Young</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cm="1">
        <f t="array" ref="M885">_xlfn.IFS(L885&gt;49,"Old",L885&lt;18,"Kid",AND(L885&gt;=18,L885&lt;=50),"Young")</f>
        <v>Young</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cm="1">
        <f t="array" ref="M886">_xlfn.IFS(L886&gt;49,"Old",L886&lt;18,"Kid",AND(L886&gt;=18,L886&lt;=50),"Young")</f>
        <v>Old</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cm="1">
        <f t="array" ref="M887">_xlfn.IFS(L887&gt;49,"Old",L887&lt;18,"Kid",AND(L887&gt;=18,L887&lt;=50),"Young")</f>
        <v>Young</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cm="1">
        <f t="array" ref="M888">_xlfn.IFS(L888&gt;49,"Old",L888&lt;18,"Kid",AND(L888&gt;=18,L888&lt;=50),"Young")</f>
        <v>Young</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cm="1">
        <f t="array" ref="M889">_xlfn.IFS(L889&gt;49,"Old",L889&lt;18,"Kid",AND(L889&gt;=18,L889&lt;=50),"Young")</f>
        <v>Young</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cm="1">
        <f t="array" ref="M890">_xlfn.IFS(L890&gt;49,"Old",L890&lt;18,"Kid",AND(L890&gt;=18,L890&lt;=50),"Young")</f>
        <v>Young</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cm="1">
        <f t="array" ref="M891">_xlfn.IFS(L891&gt;49,"Old",L891&lt;18,"Kid",AND(L891&gt;=18,L891&lt;=50),"Young")</f>
        <v>Young</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cm="1">
        <f t="array" ref="M892">_xlfn.IFS(L892&gt;49,"Old",L892&lt;18,"Kid",AND(L892&gt;=18,L892&lt;=50),"Young")</f>
        <v>Young</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cm="1">
        <f t="array" ref="M893">_xlfn.IFS(L893&gt;49,"Old",L893&lt;18,"Kid",AND(L893&gt;=18,L893&lt;=50),"Young")</f>
        <v>Old</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cm="1">
        <f t="array" ref="M894">_xlfn.IFS(L894&gt;49,"Old",L894&lt;18,"Kid",AND(L894&gt;=18,L894&lt;=50),"Young")</f>
        <v>Young</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cm="1">
        <f t="array" ref="M895">_xlfn.IFS(L895&gt;49,"Old",L895&lt;18,"Kid",AND(L895&gt;=18,L895&lt;=50),"Young")</f>
        <v>Young</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cm="1">
        <f t="array" ref="M896">_xlfn.IFS(L896&gt;49,"Old",L896&lt;18,"Kid",AND(L896&gt;=18,L896&lt;=50),"Young")</f>
        <v>Young</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cm="1">
        <f t="array" ref="M897">_xlfn.IFS(L897&gt;49,"Old",L897&lt;18,"Kid",AND(L897&gt;=18,L897&lt;=50),"Young")</f>
        <v>Old</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cm="1">
        <f t="array" ref="M898">_xlfn.IFS(L898&gt;49,"Old",L898&lt;18,"Kid",AND(L898&gt;=18,L898&lt;=50),"Young")</f>
        <v>Young</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cm="1">
        <f t="array" ref="M899">_xlfn.IFS(L899&gt;49,"Old",L899&lt;18,"Kid",AND(L899&gt;=18,L899&lt;=50),"Young")</f>
        <v>Young</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cm="1">
        <f t="array" ref="M900">_xlfn.IFS(L900&gt;49,"Old",L900&lt;18,"Kid",AND(L900&gt;=18,L900&lt;=50),"Young")</f>
        <v>Old</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cm="1">
        <f t="array" ref="M901">_xlfn.IFS(L901&gt;49,"Old",L901&lt;18,"Kid",AND(L901&gt;=18,L901&lt;=50),"Young")</f>
        <v>Young</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cm="1">
        <f t="array" ref="M902">_xlfn.IFS(L902&gt;49,"Old",L902&lt;18,"Kid",AND(L902&gt;=18,L902&lt;=50),"Young")</f>
        <v>Young</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cm="1">
        <f t="array" ref="M903">_xlfn.IFS(L903&gt;49,"Old",L903&lt;18,"Kid",AND(L903&gt;=18,L903&lt;=50),"Young")</f>
        <v>Young</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cm="1">
        <f t="array" ref="M904">_xlfn.IFS(L904&gt;49,"Old",L904&lt;18,"Kid",AND(L904&gt;=18,L904&lt;=50),"Young")</f>
        <v>Young</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cm="1">
        <f t="array" ref="M905">_xlfn.IFS(L905&gt;49,"Old",L905&lt;18,"Kid",AND(L905&gt;=18,L905&lt;=50),"Young")</f>
        <v>Old</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cm="1">
        <f t="array" ref="M906">_xlfn.IFS(L906&gt;49,"Old",L906&lt;18,"Kid",AND(L906&gt;=18,L906&lt;=50),"Young")</f>
        <v>Young</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cm="1">
        <f t="array" ref="M907">_xlfn.IFS(L907&gt;49,"Old",L907&lt;18,"Kid",AND(L907&gt;=18,L907&lt;=50),"Young")</f>
        <v>Young</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cm="1">
        <f t="array" ref="M908">_xlfn.IFS(L908&gt;49,"Old",L908&lt;18,"Kid",AND(L908&gt;=18,L908&lt;=50),"Young")</f>
        <v>Young</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cm="1">
        <f t="array" ref="M909">_xlfn.IFS(L909&gt;49,"Old",L909&lt;18,"Kid",AND(L909&gt;=18,L909&lt;=50),"Young")</f>
        <v>Old</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cm="1">
        <f t="array" ref="M910">_xlfn.IFS(L910&gt;49,"Old",L910&lt;18,"Kid",AND(L910&gt;=18,L910&lt;=50),"Young")</f>
        <v>Young</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cm="1">
        <f t="array" ref="M911">_xlfn.IFS(L911&gt;49,"Old",L911&lt;18,"Kid",AND(L911&gt;=18,L911&lt;=50),"Young")</f>
        <v>Young</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cm="1">
        <f t="array" ref="M912">_xlfn.IFS(L912&gt;49,"Old",L912&lt;18,"Kid",AND(L912&gt;=18,L912&lt;=50),"Young")</f>
        <v>Young</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cm="1">
        <f t="array" ref="M913">_xlfn.IFS(L913&gt;49,"Old",L913&lt;18,"Kid",AND(L913&gt;=18,L913&lt;=50),"Young")</f>
        <v>Old</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cm="1">
        <f t="array" ref="M914">_xlfn.IFS(L914&gt;49,"Old",L914&lt;18,"Kid",AND(L914&gt;=18,L914&lt;=50),"Young")</f>
        <v>Young</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cm="1">
        <f t="array" ref="M915">_xlfn.IFS(L915&gt;49,"Old",L915&lt;18,"Kid",AND(L915&gt;=18,L915&lt;=50),"Young")</f>
        <v>Young</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cm="1">
        <f t="array" ref="M916">_xlfn.IFS(L916&gt;49,"Old",L916&lt;18,"Kid",AND(L916&gt;=18,L916&lt;=50),"Young")</f>
        <v>Young</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cm="1">
        <f t="array" ref="M917">_xlfn.IFS(L917&gt;49,"Old",L917&lt;18,"Kid",AND(L917&gt;=18,L917&lt;=50),"Young")</f>
        <v>Old</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cm="1">
        <f t="array" ref="M918">_xlfn.IFS(L918&gt;49,"Old",L918&lt;18,"Kid",AND(L918&gt;=18,L918&lt;=50),"Young")</f>
        <v>Young</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cm="1">
        <f t="array" ref="M919">_xlfn.IFS(L919&gt;49,"Old",L919&lt;18,"Kid",AND(L919&gt;=18,L919&lt;=50),"Young")</f>
        <v>Young</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cm="1">
        <f t="array" ref="M920">_xlfn.IFS(L920&gt;49,"Old",L920&lt;18,"Kid",AND(L920&gt;=18,L920&lt;=50),"Young")</f>
        <v>Young</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cm="1">
        <f t="array" ref="M921">_xlfn.IFS(L921&gt;49,"Old",L921&lt;18,"Kid",AND(L921&gt;=18,L921&lt;=50),"Young")</f>
        <v>Old</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cm="1">
        <f t="array" ref="M922">_xlfn.IFS(L922&gt;49,"Old",L922&lt;18,"Kid",AND(L922&gt;=18,L922&lt;=50),"Young")</f>
        <v>Old</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cm="1">
        <f t="array" ref="M923">_xlfn.IFS(L923&gt;49,"Old",L923&lt;18,"Kid",AND(L923&gt;=18,L923&lt;=50),"Young")</f>
        <v>Young</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cm="1">
        <f t="array" ref="M924">_xlfn.IFS(L924&gt;49,"Old",L924&lt;18,"Kid",AND(L924&gt;=18,L924&lt;=50),"Young")</f>
        <v>Old</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cm="1">
        <f t="array" ref="M925">_xlfn.IFS(L925&gt;49,"Old",L925&lt;18,"Kid",AND(L925&gt;=18,L925&lt;=50),"Young")</f>
        <v>Old</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cm="1">
        <f t="array" ref="M926">_xlfn.IFS(L926&gt;49,"Old",L926&lt;18,"Kid",AND(L926&gt;=18,L926&lt;=50),"Young")</f>
        <v>Young</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cm="1">
        <f t="array" ref="M927">_xlfn.IFS(L927&gt;49,"Old",L927&lt;18,"Kid",AND(L927&gt;=18,L927&lt;=50),"Young")</f>
        <v>Young</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cm="1">
        <f t="array" ref="M928">_xlfn.IFS(L928&gt;49,"Old",L928&lt;18,"Kid",AND(L928&gt;=18,L928&lt;=50),"Young")</f>
        <v>Old</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cm="1">
        <f t="array" ref="M929">_xlfn.IFS(L929&gt;49,"Old",L929&lt;18,"Kid",AND(L929&gt;=18,L929&lt;=50),"Young")</f>
        <v>Young</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cm="1">
        <f t="array" ref="M930">_xlfn.IFS(L930&gt;49,"Old",L930&lt;18,"Kid",AND(L930&gt;=18,L930&lt;=50),"Young")</f>
        <v>Young</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cm="1">
        <f t="array" ref="M931">_xlfn.IFS(L931&gt;49,"Old",L931&lt;18,"Kid",AND(L931&gt;=18,L931&lt;=50),"Young")</f>
        <v>Old</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cm="1">
        <f t="array" ref="M932">_xlfn.IFS(L932&gt;49,"Old",L932&lt;18,"Kid",AND(L932&gt;=18,L932&lt;=50),"Young")</f>
        <v>Young</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cm="1">
        <f t="array" ref="M933">_xlfn.IFS(L933&gt;49,"Old",L933&lt;18,"Kid",AND(L933&gt;=18,L933&lt;=50),"Young")</f>
        <v>Young</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cm="1">
        <f t="array" ref="M934">_xlfn.IFS(L934&gt;49,"Old",L934&lt;18,"Kid",AND(L934&gt;=18,L934&lt;=50),"Young")</f>
        <v>Young</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cm="1">
        <f t="array" ref="M935">_xlfn.IFS(L935&gt;49,"Old",L935&lt;18,"Kid",AND(L935&gt;=18,L935&lt;=50),"Young")</f>
        <v>Young</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cm="1">
        <f t="array" ref="M936">_xlfn.IFS(L936&gt;49,"Old",L936&lt;18,"Kid",AND(L936&gt;=18,L936&lt;=50),"Young")</f>
        <v>Old</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cm="1">
        <f t="array" ref="M937">_xlfn.IFS(L937&gt;49,"Old",L937&lt;18,"Kid",AND(L937&gt;=18,L937&lt;=50),"Young")</f>
        <v>Young</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cm="1">
        <f t="array" ref="M938">_xlfn.IFS(L938&gt;49,"Old",L938&lt;18,"Kid",AND(L938&gt;=18,L938&lt;=50),"Young")</f>
        <v>Old</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cm="1">
        <f t="array" ref="M939">_xlfn.IFS(L939&gt;49,"Old",L939&lt;18,"Kid",AND(L939&gt;=18,L939&lt;=50),"Young")</f>
        <v>Young</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cm="1">
        <f t="array" ref="M940">_xlfn.IFS(L940&gt;49,"Old",L940&lt;18,"Kid",AND(L940&gt;=18,L940&lt;=50),"Young")</f>
        <v>Young</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cm="1">
        <f t="array" ref="M941">_xlfn.IFS(L941&gt;49,"Old",L941&lt;18,"Kid",AND(L941&gt;=18,L941&lt;=50),"Young")</f>
        <v>Old</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cm="1">
        <f t="array" ref="M942">_xlfn.IFS(L942&gt;49,"Old",L942&lt;18,"Kid",AND(L942&gt;=18,L942&lt;=50),"Young")</f>
        <v>Young</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cm="1">
        <f t="array" ref="M943">_xlfn.IFS(L943&gt;49,"Old",L943&lt;18,"Kid",AND(L943&gt;=18,L943&lt;=50),"Young")</f>
        <v>Young</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cm="1">
        <f t="array" ref="M944">_xlfn.IFS(L944&gt;49,"Old",L944&lt;18,"Kid",AND(L944&gt;=18,L944&lt;=50),"Young")</f>
        <v>Old</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cm="1">
        <f t="array" ref="M945">_xlfn.IFS(L945&gt;49,"Old",L945&lt;18,"Kid",AND(L945&gt;=18,L945&lt;=50),"Young")</f>
        <v>Young</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cm="1">
        <f t="array" ref="M946">_xlfn.IFS(L946&gt;49,"Old",L946&lt;18,"Kid",AND(L946&gt;=18,L946&lt;=50),"Young")</f>
        <v>Young</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cm="1">
        <f t="array" ref="M947">_xlfn.IFS(L947&gt;49,"Old",L947&lt;18,"Kid",AND(L947&gt;=18,L947&lt;=50),"Young")</f>
        <v>Young</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cm="1">
        <f t="array" ref="M948">_xlfn.IFS(L948&gt;49,"Old",L948&lt;18,"Kid",AND(L948&gt;=18,L948&lt;=50),"Young")</f>
        <v>Old</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cm="1">
        <f t="array" ref="M949">_xlfn.IFS(L949&gt;49,"Old",L949&lt;18,"Kid",AND(L949&gt;=18,L949&lt;=50),"Young")</f>
        <v>Young</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cm="1">
        <f t="array" ref="M950">_xlfn.IFS(L950&gt;49,"Old",L950&lt;18,"Kid",AND(L950&gt;=18,L950&lt;=50),"Young")</f>
        <v>Young</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cm="1">
        <f t="array" ref="M951">_xlfn.IFS(L951&gt;49,"Old",L951&lt;18,"Kid",AND(L951&gt;=18,L951&lt;=50),"Young")</f>
        <v>Old</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cm="1">
        <f t="array" ref="M952">_xlfn.IFS(L952&gt;49,"Old",L952&lt;18,"Kid",AND(L952&gt;=18,L952&lt;=50),"Young")</f>
        <v>Young</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cm="1">
        <f t="array" ref="M953">_xlfn.IFS(L953&gt;49,"Old",L953&lt;18,"Kid",AND(L953&gt;=18,L953&lt;=50),"Young")</f>
        <v>Young</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cm="1">
        <f t="array" ref="M954">_xlfn.IFS(L954&gt;49,"Old",L954&lt;18,"Kid",AND(L954&gt;=18,L954&lt;=50),"Young")</f>
        <v>Old</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cm="1">
        <f t="array" ref="M955">_xlfn.IFS(L955&gt;49,"Old",L955&lt;18,"Kid",AND(L955&gt;=18,L955&lt;=50),"Young")</f>
        <v>Young</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cm="1">
        <f t="array" ref="M956">_xlfn.IFS(L956&gt;49,"Old",L956&lt;18,"Kid",AND(L956&gt;=18,L956&lt;=50),"Young")</f>
        <v>Young</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cm="1">
        <f t="array" ref="M957">_xlfn.IFS(L957&gt;49,"Old",L957&lt;18,"Kid",AND(L957&gt;=18,L957&lt;=50),"Young")</f>
        <v>Young</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cm="1">
        <f t="array" ref="M958">_xlfn.IFS(L958&gt;49,"Old",L958&lt;18,"Kid",AND(L958&gt;=18,L958&lt;=50),"Young")</f>
        <v>Young</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cm="1">
        <f t="array" ref="M959">_xlfn.IFS(L959&gt;49,"Old",L959&lt;18,"Kid",AND(L959&gt;=18,L959&lt;=50),"Young")</f>
        <v>Young</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cm="1">
        <f t="array" ref="M960">_xlfn.IFS(L960&gt;49,"Old",L960&lt;18,"Kid",AND(L960&gt;=18,L960&lt;=50),"Young")</f>
        <v>Young</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cm="1">
        <f t="array" ref="M961">_xlfn.IFS(L961&gt;49,"Old",L961&lt;18,"Kid",AND(L961&gt;=18,L961&lt;=50),"Young")</f>
        <v>Young</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cm="1">
        <f t="array" ref="M962">_xlfn.IFS(L962&gt;49,"Old",L962&lt;18,"Kid",AND(L962&gt;=18,L962&lt;=50),"Young")</f>
        <v>Young</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cm="1">
        <f t="array" ref="M963">_xlfn.IFS(L963&gt;49,"Old",L963&lt;18,"Kid",AND(L963&gt;=18,L963&lt;=50),"Young")</f>
        <v>Old</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cm="1">
        <f t="array" ref="M964">_xlfn.IFS(L964&gt;49,"Old",L964&lt;18,"Kid",AND(L964&gt;=18,L964&lt;=50),"Young")</f>
        <v>Old</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cm="1">
        <f t="array" ref="M965">_xlfn.IFS(L965&gt;49,"Old",L965&lt;18,"Kid",AND(L965&gt;=18,L965&lt;=50),"Young")</f>
        <v>Old</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cm="1">
        <f t="array" ref="M966">_xlfn.IFS(L966&gt;49,"Old",L966&lt;18,"Kid",AND(L966&gt;=18,L966&lt;=50),"Young")</f>
        <v>Old</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cm="1">
        <f t="array" ref="M967">_xlfn.IFS(L967&gt;49,"Old",L967&lt;18,"Kid",AND(L967&gt;=18,L967&lt;=50),"Young")</f>
        <v>Young</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cm="1">
        <f t="array" ref="M968">_xlfn.IFS(L968&gt;49,"Old",L968&lt;18,"Kid",AND(L968&gt;=18,L968&lt;=50),"Young")</f>
        <v>Young</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cm="1">
        <f t="array" ref="M969">_xlfn.IFS(L969&gt;49,"Old",L969&lt;18,"Kid",AND(L969&gt;=18,L969&lt;=50),"Young")</f>
        <v>Old</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cm="1">
        <f t="array" ref="M970">_xlfn.IFS(L970&gt;49,"Old",L970&lt;18,"Kid",AND(L970&gt;=18,L970&lt;=50),"Young")</f>
        <v>Young</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cm="1">
        <f t="array" ref="M971">_xlfn.IFS(L971&gt;49,"Old",L971&lt;18,"Kid",AND(L971&gt;=18,L971&lt;=50),"Young")</f>
        <v>Young</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cm="1">
        <f t="array" ref="M972">_xlfn.IFS(L972&gt;49,"Old",L972&lt;18,"Kid",AND(L972&gt;=18,L972&lt;=50),"Young")</f>
        <v>Young</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cm="1">
        <f t="array" ref="M973">_xlfn.IFS(L973&gt;49,"Old",L973&lt;18,"Kid",AND(L973&gt;=18,L973&lt;=50),"Young")</f>
        <v>Old</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cm="1">
        <f t="array" ref="M974">_xlfn.IFS(L974&gt;49,"Old",L974&lt;18,"Kid",AND(L974&gt;=18,L974&lt;=50),"Young")</f>
        <v>Old</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cm="1">
        <f t="array" ref="M975">_xlfn.IFS(L975&gt;49,"Old",L975&lt;18,"Kid",AND(L975&gt;=18,L975&lt;=50),"Young")</f>
        <v>Young</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cm="1">
        <f t="array" ref="M976">_xlfn.IFS(L976&gt;49,"Old",L976&lt;18,"Kid",AND(L976&gt;=18,L976&lt;=50),"Young")</f>
        <v>Old</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cm="1">
        <f t="array" ref="M977">_xlfn.IFS(L977&gt;49,"Old",L977&lt;18,"Kid",AND(L977&gt;=18,L977&lt;=50),"Young")</f>
        <v>Young</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cm="1">
        <f t="array" ref="M978">_xlfn.IFS(L978&gt;49,"Old",L978&lt;18,"Kid",AND(L978&gt;=18,L978&lt;=50),"Young")</f>
        <v>Old</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cm="1">
        <f t="array" ref="M979">_xlfn.IFS(L979&gt;49,"Old",L979&lt;18,"Kid",AND(L979&gt;=18,L979&lt;=50),"Young")</f>
        <v>Old</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cm="1">
        <f t="array" ref="M980">_xlfn.IFS(L980&gt;49,"Old",L980&lt;18,"Kid",AND(L980&gt;=18,L980&lt;=50),"Young")</f>
        <v>Young</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cm="1">
        <f t="array" ref="M981">_xlfn.IFS(L981&gt;49,"Old",L981&lt;18,"Kid",AND(L981&gt;=18,L981&lt;=50),"Young")</f>
        <v>Young</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cm="1">
        <f t="array" ref="M982">_xlfn.IFS(L982&gt;49,"Old",L982&lt;18,"Kid",AND(L982&gt;=18,L982&lt;=50),"Young")</f>
        <v>Young</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cm="1">
        <f t="array" ref="M983">_xlfn.IFS(L983&gt;49,"Old",L983&lt;18,"Kid",AND(L983&gt;=18,L983&lt;=50),"Young")</f>
        <v>Young</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cm="1">
        <f t="array" ref="M984">_xlfn.IFS(L984&gt;49,"Old",L984&lt;18,"Kid",AND(L984&gt;=18,L984&lt;=50),"Young")</f>
        <v>Young</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cm="1">
        <f t="array" ref="M985">_xlfn.IFS(L985&gt;49,"Old",L985&lt;18,"Kid",AND(L985&gt;=18,L985&lt;=50),"Young")</f>
        <v>Young</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cm="1">
        <f t="array" ref="M986">_xlfn.IFS(L986&gt;49,"Old",L986&lt;18,"Kid",AND(L986&gt;=18,L986&lt;=50),"Young")</f>
        <v>Young</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cm="1">
        <f t="array" ref="M987">_xlfn.IFS(L987&gt;49,"Old",L987&lt;18,"Kid",AND(L987&gt;=18,L987&lt;=50),"Young")</f>
        <v>Young</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cm="1">
        <f t="array" ref="M988">_xlfn.IFS(L988&gt;49,"Old",L988&lt;18,"Kid",AND(L988&gt;=18,L988&lt;=50),"Young")</f>
        <v>Old</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cm="1">
        <f t="array" ref="M989">_xlfn.IFS(L989&gt;49,"Old",L989&lt;18,"Kid",AND(L989&gt;=18,L989&lt;=50),"Young")</f>
        <v>Old</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cm="1">
        <f t="array" ref="M990">_xlfn.IFS(L990&gt;49,"Old",L990&lt;18,"Kid",AND(L990&gt;=18,L990&lt;=50),"Young")</f>
        <v>Old</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cm="1">
        <f t="array" ref="M991">_xlfn.IFS(L991&gt;49,"Old",L991&lt;18,"Kid",AND(L991&gt;=18,L991&lt;=50),"Young")</f>
        <v>Young</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cm="1">
        <f t="array" ref="M992">_xlfn.IFS(L992&gt;49,"Old",L992&lt;18,"Kid",AND(L992&gt;=18,L992&lt;=50),"Young")</f>
        <v>Young</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cm="1">
        <f t="array" ref="M993">_xlfn.IFS(L993&gt;49,"Old",L993&lt;18,"Kid",AND(L993&gt;=18,L993&lt;=50),"Young")</f>
        <v>Young</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cm="1">
        <f t="array" ref="M994">_xlfn.IFS(L994&gt;49,"Old",L994&lt;18,"Kid",AND(L994&gt;=18,L994&lt;=50),"Young")</f>
        <v>Young</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cm="1">
        <f t="array" ref="M995">_xlfn.IFS(L995&gt;49,"Old",L995&lt;18,"Kid",AND(L995&gt;=18,L995&lt;=50),"Young")</f>
        <v>Young</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cm="1">
        <f t="array" ref="M996">_xlfn.IFS(L996&gt;49,"Old",L996&lt;18,"Kid",AND(L996&gt;=18,L996&lt;=50),"Young")</f>
        <v>Young</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cm="1">
        <f t="array" ref="M997">_xlfn.IFS(L997&gt;49,"Old",L997&lt;18,"Kid",AND(L997&gt;=18,L997&lt;=50),"Young")</f>
        <v>Old</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cm="1">
        <f t="array" ref="M998">_xlfn.IFS(L998&gt;49,"Old",L998&lt;18,"Kid",AND(L998&gt;=18,L998&lt;=50),"Young")</f>
        <v>Young</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cm="1">
        <f t="array" ref="M999">_xlfn.IFS(L999&gt;49,"Old",L999&lt;18,"Kid",AND(L999&gt;=18,L999&lt;=50),"Young")</f>
        <v>Young</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cm="1">
        <f t="array" ref="M1000">_xlfn.IFS(L1000&gt;49,"Old",L1000&lt;18,"Kid",AND(L1000&gt;=18,L1000&lt;=50),"Young")</f>
        <v>Young</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cm="1">
        <f t="array" ref="M1001">_xlfn.IFS(L1001&gt;49,"Old",L1001&lt;18,"Kid",AND(L1001&gt;=18,L1001&lt;=50),"Young")</f>
        <v>Old</v>
      </c>
      <c r="N1001" t="s">
        <v>15</v>
      </c>
    </row>
  </sheetData>
  <autoFilter ref="A1:N1" xr:uid="{64AE7A3C-793B-4BC1-B947-A52132BD5F04}"/>
  <pageMargins left="0.7" right="0.7" top="0.75" bottom="0.75" header="0.3" footer="0.3"/>
  <pageSetup orientation="portrait" horizontalDpi="300" verticalDpi="300"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9F65B5-8CB1-4EC8-9C37-6B1B9F8E7143}">
  <dimension ref="A3:D28"/>
  <sheetViews>
    <sheetView topLeftCell="A22" workbookViewId="0">
      <selection activeCell="L29" sqref="L29"/>
    </sheetView>
  </sheetViews>
  <sheetFormatPr defaultRowHeight="14.4" x14ac:dyDescent="0.3"/>
  <cols>
    <col min="1" max="1" width="21.88671875" bestFit="1" customWidth="1"/>
    <col min="2" max="2" width="15.5546875" bestFit="1" customWidth="1"/>
    <col min="3" max="3" width="4" bestFit="1" customWidth="1"/>
    <col min="4" max="4" width="10.77734375" bestFit="1" customWidth="1"/>
    <col min="5" max="5" width="7.21875" bestFit="1" customWidth="1"/>
    <col min="6" max="6" width="3.77734375" bestFit="1" customWidth="1"/>
    <col min="7" max="7" width="9.88671875" bestFit="1" customWidth="1"/>
    <col min="8" max="8"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6">
        <v>53440</v>
      </c>
      <c r="C5" s="6">
        <v>55774.058577405856</v>
      </c>
      <c r="D5" s="6">
        <v>54580.777096114522</v>
      </c>
    </row>
    <row r="6" spans="1:4" x14ac:dyDescent="0.3">
      <c r="A6" s="5" t="s">
        <v>39</v>
      </c>
      <c r="B6" s="6">
        <v>56208.178438661707</v>
      </c>
      <c r="C6" s="6">
        <v>60123.966942148763</v>
      </c>
      <c r="D6" s="6">
        <v>58062.62230919765</v>
      </c>
    </row>
    <row r="7" spans="1:4" x14ac:dyDescent="0.3">
      <c r="A7" s="5" t="s">
        <v>42</v>
      </c>
      <c r="B7" s="6">
        <v>54874.759152215796</v>
      </c>
      <c r="C7" s="6">
        <v>57962.577962577961</v>
      </c>
      <c r="D7" s="6">
        <v>56360</v>
      </c>
    </row>
    <row r="10" spans="1:4" x14ac:dyDescent="0.3">
      <c r="A10" s="4" t="s">
        <v>45</v>
      </c>
      <c r="B10" s="4" t="s">
        <v>44</v>
      </c>
    </row>
    <row r="11" spans="1:4" x14ac:dyDescent="0.3">
      <c r="A11" s="4" t="s">
        <v>41</v>
      </c>
      <c r="B11" t="s">
        <v>18</v>
      </c>
      <c r="C11" t="s">
        <v>15</v>
      </c>
      <c r="D11" t="s">
        <v>42</v>
      </c>
    </row>
    <row r="12" spans="1:4" x14ac:dyDescent="0.3">
      <c r="A12" s="5" t="s">
        <v>47</v>
      </c>
      <c r="B12" s="7">
        <v>178</v>
      </c>
      <c r="C12" s="7">
        <v>122</v>
      </c>
      <c r="D12" s="7">
        <v>300</v>
      </c>
    </row>
    <row r="13" spans="1:4" x14ac:dyDescent="0.3">
      <c r="A13" s="5" t="s">
        <v>48</v>
      </c>
      <c r="B13" s="7">
        <v>341</v>
      </c>
      <c r="C13" s="7">
        <v>359</v>
      </c>
      <c r="D13" s="7">
        <v>700</v>
      </c>
    </row>
    <row r="14" spans="1:4" x14ac:dyDescent="0.3">
      <c r="A14" s="5" t="s">
        <v>42</v>
      </c>
      <c r="B14" s="7">
        <v>519</v>
      </c>
      <c r="C14" s="7">
        <v>481</v>
      </c>
      <c r="D14" s="7">
        <v>1000</v>
      </c>
    </row>
    <row r="21" spans="1:4" x14ac:dyDescent="0.3">
      <c r="A21" s="4" t="s">
        <v>45</v>
      </c>
      <c r="B21" s="4" t="s">
        <v>44</v>
      </c>
    </row>
    <row r="22" spans="1:4" x14ac:dyDescent="0.3">
      <c r="A22" s="4" t="s">
        <v>41</v>
      </c>
      <c r="B22" t="s">
        <v>18</v>
      </c>
      <c r="C22" t="s">
        <v>15</v>
      </c>
      <c r="D22" t="s">
        <v>42</v>
      </c>
    </row>
    <row r="23" spans="1:4" x14ac:dyDescent="0.3">
      <c r="A23" s="5" t="s">
        <v>16</v>
      </c>
      <c r="B23" s="7">
        <v>166</v>
      </c>
      <c r="C23" s="7">
        <v>200</v>
      </c>
      <c r="D23" s="7">
        <v>366</v>
      </c>
    </row>
    <row r="24" spans="1:4" x14ac:dyDescent="0.3">
      <c r="A24" s="5" t="s">
        <v>26</v>
      </c>
      <c r="B24" s="7">
        <v>92</v>
      </c>
      <c r="C24" s="7">
        <v>77</v>
      </c>
      <c r="D24" s="7">
        <v>169</v>
      </c>
    </row>
    <row r="25" spans="1:4" x14ac:dyDescent="0.3">
      <c r="A25" s="5" t="s">
        <v>22</v>
      </c>
      <c r="B25" s="7">
        <v>67</v>
      </c>
      <c r="C25" s="7">
        <v>95</v>
      </c>
      <c r="D25" s="7">
        <v>162</v>
      </c>
    </row>
    <row r="26" spans="1:4" x14ac:dyDescent="0.3">
      <c r="A26" s="5" t="s">
        <v>23</v>
      </c>
      <c r="B26" s="7">
        <v>116</v>
      </c>
      <c r="C26" s="7">
        <v>76</v>
      </c>
      <c r="D26" s="7">
        <v>192</v>
      </c>
    </row>
    <row r="27" spans="1:4" x14ac:dyDescent="0.3">
      <c r="A27" s="5" t="s">
        <v>46</v>
      </c>
      <c r="B27" s="7">
        <v>78</v>
      </c>
      <c r="C27" s="7">
        <v>33</v>
      </c>
      <c r="D27" s="7">
        <v>111</v>
      </c>
    </row>
    <row r="28" spans="1:4" x14ac:dyDescent="0.3">
      <c r="A28" s="5" t="s">
        <v>42</v>
      </c>
      <c r="B28" s="7">
        <v>519</v>
      </c>
      <c r="C28" s="7">
        <v>481</v>
      </c>
      <c r="D28" s="7">
        <v>1000</v>
      </c>
    </row>
  </sheetData>
  <pageMargins left="0.7" right="0.7" top="0.75" bottom="0.75" header="0.3" footer="0.3"/>
  <drawing r:id="rId4"/>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A3443AF-CAF6-40C9-BABD-4B71DA206D30}">
  <dimension ref="A1:O6"/>
  <sheetViews>
    <sheetView showGridLines="0" tabSelected="1" zoomScale="75" zoomScaleNormal="75" workbookViewId="0">
      <selection activeCell="R29" sqref="R29"/>
    </sheetView>
  </sheetViews>
  <sheetFormatPr defaultRowHeight="14.4" x14ac:dyDescent="0.3"/>
  <sheetData>
    <row r="1" spans="1:15" x14ac:dyDescent="0.3">
      <c r="A1" s="8" t="s">
        <v>49</v>
      </c>
      <c r="B1" s="9"/>
      <c r="C1" s="9"/>
      <c r="D1" s="9"/>
      <c r="E1" s="9"/>
      <c r="F1" s="9"/>
      <c r="G1" s="9"/>
      <c r="H1" s="9"/>
      <c r="I1" s="9"/>
      <c r="J1" s="9"/>
      <c r="K1" s="9"/>
      <c r="L1" s="9"/>
      <c r="M1" s="9"/>
      <c r="N1" s="9"/>
      <c r="O1" s="9"/>
    </row>
    <row r="2" spans="1:15" x14ac:dyDescent="0.3">
      <c r="A2" s="9"/>
      <c r="B2" s="9"/>
      <c r="C2" s="9"/>
      <c r="D2" s="9"/>
      <c r="E2" s="9"/>
      <c r="F2" s="9"/>
      <c r="G2" s="9"/>
      <c r="H2" s="9"/>
      <c r="I2" s="9"/>
      <c r="J2" s="9"/>
      <c r="K2" s="9"/>
      <c r="L2" s="9"/>
      <c r="M2" s="9"/>
      <c r="N2" s="9"/>
      <c r="O2" s="9"/>
    </row>
    <row r="3" spans="1:15" x14ac:dyDescent="0.3">
      <c r="A3" s="9"/>
      <c r="B3" s="9"/>
      <c r="C3" s="9"/>
      <c r="D3" s="9"/>
      <c r="E3" s="9"/>
      <c r="F3" s="9"/>
      <c r="G3" s="9"/>
      <c r="H3" s="9"/>
      <c r="I3" s="9"/>
      <c r="J3" s="9"/>
      <c r="K3" s="9"/>
      <c r="L3" s="9"/>
      <c r="M3" s="9"/>
      <c r="N3" s="9"/>
      <c r="O3" s="9"/>
    </row>
    <row r="4" spans="1:15" x14ac:dyDescent="0.3">
      <c r="A4" s="9"/>
      <c r="B4" s="9"/>
      <c r="C4" s="9"/>
      <c r="D4" s="9"/>
      <c r="E4" s="9"/>
      <c r="F4" s="9"/>
      <c r="G4" s="9"/>
      <c r="H4" s="9"/>
      <c r="I4" s="9"/>
      <c r="J4" s="9"/>
      <c r="K4" s="9"/>
      <c r="L4" s="9"/>
      <c r="M4" s="9"/>
      <c r="N4" s="9"/>
      <c r="O4" s="9"/>
    </row>
    <row r="5" spans="1:15" x14ac:dyDescent="0.3">
      <c r="A5" s="9"/>
      <c r="B5" s="9"/>
      <c r="C5" s="9"/>
      <c r="D5" s="9"/>
      <c r="E5" s="9"/>
      <c r="F5" s="9"/>
      <c r="G5" s="9"/>
      <c r="H5" s="9"/>
      <c r="I5" s="9"/>
      <c r="J5" s="9"/>
      <c r="K5" s="9"/>
      <c r="L5" s="9"/>
      <c r="M5" s="9"/>
      <c r="N5" s="9"/>
      <c r="O5" s="9"/>
    </row>
    <row r="6" spans="1:15" x14ac:dyDescent="0.3">
      <c r="A6" s="9"/>
      <c r="B6" s="9"/>
      <c r="C6" s="9"/>
      <c r="D6" s="9"/>
      <c r="E6" s="9"/>
      <c r="F6" s="9"/>
      <c r="G6" s="9"/>
      <c r="H6" s="9"/>
      <c r="I6" s="9"/>
      <c r="J6" s="9"/>
      <c r="K6" s="9"/>
      <c r="L6" s="9"/>
      <c r="M6" s="9"/>
      <c r="N6" s="9"/>
      <c r="O6" s="9"/>
    </row>
  </sheetData>
  <mergeCells count="1">
    <mergeCell ref="A1:O6"/>
  </mergeCells>
  <pageMargins left="0.7" right="0.7" top="0.75" bottom="0.75" header="0.3" footer="0.3"/>
  <pageSetup orientation="portrait"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vt:lpstr>
      <vt:lpstr>working_sheet</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TY_16010122134_Aditya Patel Patel</cp:lastModifiedBy>
  <dcterms:created xsi:type="dcterms:W3CDTF">2022-03-18T02:50:57Z</dcterms:created>
  <dcterms:modified xsi:type="dcterms:W3CDTF">2026-04-07T06:22:12Z</dcterms:modified>
</cp:coreProperties>
</file>