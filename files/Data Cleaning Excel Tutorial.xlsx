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dvance_excel\files\"/>
    </mc:Choice>
  </mc:AlternateContent>
  <xr:revisionPtr revIDLastSave="0" documentId="13_ncr:1_{3A75A958-64F6-450D-85C5-B7770C3065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US_Presidents Excel Tutorial Da" sheetId="1" r:id="rId2"/>
  </sheets>
  <definedNames>
    <definedName name="_xlnm._FilterDatabase" localSheetId="1" hidden="1">'US_Presidents Excel Tutorial Da'!$A$1:$L$48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  <c r="M4" i="1"/>
  <c r="M8" i="1"/>
  <c r="M10" i="1"/>
  <c r="M12" i="1"/>
  <c r="M16" i="1"/>
  <c r="M18" i="1"/>
  <c r="M20" i="1"/>
  <c r="M24" i="1"/>
  <c r="M26" i="1"/>
  <c r="M28" i="1"/>
  <c r="M32" i="1"/>
  <c r="M34" i="1"/>
  <c r="M36" i="1"/>
  <c r="M40" i="1"/>
  <c r="M42" i="1"/>
  <c r="M48" i="1"/>
  <c r="L3" i="1"/>
  <c r="M3" i="1" s="1"/>
  <c r="L4" i="1"/>
  <c r="L5" i="1"/>
  <c r="M5" i="1" s="1"/>
  <c r="L6" i="1"/>
  <c r="M6" i="1" s="1"/>
  <c r="L7" i="1"/>
  <c r="M7" i="1" s="1"/>
  <c r="L8" i="1"/>
  <c r="L9" i="1"/>
  <c r="M9" i="1" s="1"/>
  <c r="L10" i="1"/>
  <c r="L11" i="1"/>
  <c r="M11" i="1" s="1"/>
  <c r="L12" i="1"/>
  <c r="L13" i="1"/>
  <c r="M13" i="1" s="1"/>
  <c r="L14" i="1"/>
  <c r="M14" i="1" s="1"/>
  <c r="L15" i="1"/>
  <c r="M15" i="1" s="1"/>
  <c r="L16" i="1"/>
  <c r="L17" i="1"/>
  <c r="M17" i="1" s="1"/>
  <c r="L18" i="1"/>
  <c r="L19" i="1"/>
  <c r="M19" i="1" s="1"/>
  <c r="L20" i="1"/>
  <c r="L21" i="1"/>
  <c r="M21" i="1" s="1"/>
  <c r="L22" i="1"/>
  <c r="M22" i="1" s="1"/>
  <c r="L23" i="1"/>
  <c r="M23" i="1" s="1"/>
  <c r="L24" i="1"/>
  <c r="L25" i="1"/>
  <c r="M25" i="1" s="1"/>
  <c r="L26" i="1"/>
  <c r="L27" i="1"/>
  <c r="M27" i="1" s="1"/>
  <c r="L28" i="1"/>
  <c r="L29" i="1"/>
  <c r="M29" i="1" s="1"/>
  <c r="L30" i="1"/>
  <c r="M30" i="1" s="1"/>
  <c r="L31" i="1"/>
  <c r="M31" i="1" s="1"/>
  <c r="L32" i="1"/>
  <c r="L33" i="1"/>
  <c r="M33" i="1" s="1"/>
  <c r="L34" i="1"/>
  <c r="L35" i="1"/>
  <c r="M35" i="1" s="1"/>
  <c r="L36" i="1"/>
  <c r="L37" i="1"/>
  <c r="M37" i="1" s="1"/>
  <c r="L38" i="1"/>
  <c r="M38" i="1" s="1"/>
  <c r="L39" i="1"/>
  <c r="M39" i="1" s="1"/>
  <c r="L40" i="1"/>
  <c r="L41" i="1"/>
  <c r="M41" i="1" s="1"/>
  <c r="L42" i="1"/>
  <c r="L43" i="1"/>
  <c r="M43" i="1" s="1"/>
  <c r="L44" i="1"/>
  <c r="M44" i="1" s="1"/>
  <c r="L45" i="1"/>
  <c r="M45" i="1" s="1"/>
  <c r="L46" i="1"/>
  <c r="M46" i="1" s="1"/>
  <c r="L47" i="1"/>
  <c r="M47" i="1" s="1"/>
  <c r="L48" i="1"/>
  <c r="L2" i="1"/>
  <c r="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</calcChain>
</file>

<file path=xl/sharedStrings.xml><?xml version="1.0" encoding="utf-8"?>
<sst xmlns="http://schemas.openxmlformats.org/spreadsheetml/2006/main" count="209" uniqueCount="143">
  <si>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</si>
  <si>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</si>
  <si>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</si>
  <si>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</si>
  <si>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</si>
  <si>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</si>
  <si>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</si>
  <si>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</si>
  <si>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</si>
  <si>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</si>
  <si>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</si>
  <si>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</si>
  <si>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</si>
  <si>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</si>
  <si>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</si>
  <si>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</si>
  <si>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</si>
  <si>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</si>
  <si>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</si>
  <si>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</si>
  <si>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</si>
  <si>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</si>
  <si>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</si>
  <si>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</si>
  <si>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</si>
  <si>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</si>
  <si>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</si>
  <si>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</si>
  <si>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</si>
  <si>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</si>
  <si>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</si>
  <si>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</si>
  <si>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</si>
  <si>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</si>
  <si>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</si>
  <si>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</si>
  <si>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</si>
  <si>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</si>
  <si>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</si>
  <si>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</si>
  <si>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</si>
  <si>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</si>
  <si>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</si>
  <si>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</si>
  <si>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</si>
  <si>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</si>
  <si>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</si>
  <si>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</si>
  <si>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</si>
  <si>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</si>
  <si>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</si>
  <si>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</si>
  <si>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</si>
  <si>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</si>
  <si>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</si>
  <si>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</si>
  <si>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</si>
  <si>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</si>
  <si>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</si>
  <si>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</si>
  <si>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</si>
  <si>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</si>
  <si>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</si>
  <si>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</si>
  <si>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</si>
  <si>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</si>
  <si>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</si>
  <si>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</si>
  <si>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</si>
  <si>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</si>
  <si>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</si>
  <si>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</si>
  <si>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</si>
  <si>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</si>
  <si>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</si>
  <si>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</si>
  <si>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</si>
  <si>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</si>
  <si>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</si>
  <si>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</si>
  <si>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</si>
  <si>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</si>
  <si>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</si>
  <si>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</si>
  <si>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</si>
  <si>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</si>
  <si>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</si>
  <si>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</si>
  <si>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</si>
  <si>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</si>
  <si>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</si>
  <si>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</si>
  <si>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</si>
  <si>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</si>
  <si>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</si>
  <si>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</si>
  <si>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</si>
  <si>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</si>
  <si>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</si>
  <si>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</si>
  <si>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</si>
  <si>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</si>
  <si>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</si>
  <si>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</si>
  <si>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</si>
  <si>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</si>
  <si>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</si>
  <si>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</si>
  <si>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</si>
  <si>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</si>
  <si>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</si>
  <si>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</si>
  <si>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</si>
  <si>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</si>
  <si>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</si>
  <si>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</si>
  <si>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</si>
  <si>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</si>
  <si>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</si>
  <si>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</si>
  <si>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</si>
  <si>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</si>
  <si>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</si>
  <si>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</si>
  <si>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</si>
  <si>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</si>
  <si>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</si>
  <si>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</si>
  <si>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</si>
  <si>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</si>
  <si>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</si>
  <si>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</si>
  <si>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Row Labels</t>
  </si>
  <si>
    <t>Grand Total</t>
  </si>
  <si>
    <t>(blank)</t>
  </si>
  <si>
    <t>REVENUE</t>
  </si>
  <si>
    <t>president_fixed</t>
  </si>
  <si>
    <t>date_text</t>
  </si>
  <si>
    <t>date_fix</t>
  </si>
  <si>
    <t>vice-fixed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</si>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</sst>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$-409]* #,##0.00_ ;_-[$$-409]* \-#,##0.00\ ;_-[$$-409]* &quot;-&quot;??_ ;_-@_ "/>
    <numFmt numFmtId="170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0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6" formatCode="_-[$$-409]* #,##0.00_ ;_-[$$-409]* \-#,##0.00\ ;_-[$$-409]* &quot;-&quot;??_ ;_-@_ "/>
    </dxf>
    <dxf>
      <numFmt numFmtId="167" formatCode="&quot;₹&quot;\ #,##0.00"/>
    </dxf>
    <dxf>
      <numFmt numFmtId="167" formatCode="&quot;₹&quot;\ #,##0.00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4" formatCode="0.00%"/>
    </dxf>
    <dxf>
      <numFmt numFmtId="166" formatCode="_-[$$-409]* #,##0.00_ ;_-[$$-409]* \-#,##0.00\ ;_-[$$-409]* &quot;-&quot;??_ ;_-@_ "/>
    </dxf>
    <dxf>
      <numFmt numFmtId="167" formatCode="&quot;₹&quot;\ #,##0.00"/>
    </dxf>
    <dxf>
      <numFmt numFmtId="167" formatCode="&quot;₹&quot;\ #,##0.00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7" formatCode="&quot;₹&quot;\ #,##0.00"/>
    </dxf>
    <dxf>
      <numFmt numFmtId="167" formatCode="&quot;₹&quot;\ #,##0.00"/>
    </dxf>
    <dxf>
      <numFmt numFmtId="166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VI" refreshedDate="46115.474507638886" createdVersion="8" refreshedVersion="8" minRefreshableVersion="3" recordCount="48" xr:uid="{84DB722D-7587-4CE2-BDBE-E9B77BE2C401}">
  <cacheSource type="worksheet">
    <worksheetSource ref="A1:K1048576" sheet="US_Presidents Excel Tutorial Da"/>
  </cacheSource>
  <cacheFields count="8">
    <cacheField name="S.No." numFmtId="0">
      <sharedItems containsString="0" containsBlank="1" containsNumber="1" containsInteger="1" minValue="1" maxValue="45"/>
    </cacheField>
    <cacheField name="president" numFmtId="0">
      <sharedItems containsBlank="1" count="45">
        <s v="George Washington"/>
        <s v="john adams"/>
        <s v="Thomas Jefferson"/>
        <s v="James Madison"/>
        <s v="JAMES MONROE"/>
        <s v="John Quincy Adams"/>
        <s v="Andrew Jackson"/>
        <s v="Martin Van Buren"/>
        <s v="William Henry Harrison"/>
        <s v="john tyler"/>
        <s v="James K. Polk"/>
        <s v="Zachary Taylor"/>
        <s v="Millard Fillmore"/>
        <s v="Franklin Pierce"/>
        <s v="James Buchanan"/>
        <s v="Abraham Lincoln"/>
        <s v="Andrew Johnson"/>
        <s v="Ulysses S. Grant"/>
        <s v="Rutherford B. Hayes"/>
        <s v="James A. Garfield"/>
        <s v="Chester A. Arthur"/>
        <s v="Grover Cleveland"/>
        <s v="Benjamin Harrison"/>
        <s v="William McKinley"/>
        <s v="Theodore Roosevelt"/>
        <s v="William Howard Taft"/>
        <s v="Woodrow Wilson"/>
        <s v="Warren G. Harding"/>
        <s v="Calvin Coolidge"/>
        <s v="Herbert Hoover"/>
        <s v="Franklin D. Roosevelt"/>
        <s v="Harry S. Truman"/>
        <s v="Dwight D. Eisenhower"/>
        <s v="John F. Kennedy"/>
        <s v="Lyndon B. Johnson"/>
        <s v="Richard Nixon"/>
        <s v="Gerald Ford"/>
        <s v="Jimmy Carter"/>
        <s v="Ronald Reagan"/>
        <s v="George H. W. Bush"/>
        <s v="Bill Clinton"/>
        <s v="George W. Bush"/>
        <s v="Barack Obama"/>
        <s v="Donald Trump"/>
        <m/>
      </sharedItems>
    </cacheField>
    <cacheField name="prior" numFmtId="0">
      <sharedItems containsBlank="1"/>
    </cacheField>
    <cacheField name="party" numFmtId="0">
      <sharedItems containsBlank="1" count="10">
        <s v="Nonpartisan"/>
        <s v="Federalist"/>
        <s v="Democratic-  Republican"/>
        <s v="Democratic"/>
        <s v="Whig"/>
        <s v="Whig   April 4, 1841  â€“  September 13, 1841"/>
        <s v="Republican"/>
        <s v="Demorcatic"/>
        <s v="Republicans"/>
        <m/>
      </sharedItems>
    </cacheField>
    <cacheField name="vice" numFmtId="0">
      <sharedItems containsBlank="1"/>
    </cacheField>
    <cacheField name="salary" numFmtId="0">
      <sharedItems containsString="0" containsBlank="1" containsNumber="1" containsInteger="1" minValue="5000" maxValue="405000"/>
    </cacheField>
    <cacheField name="date updated" numFmtId="0">
      <sharedItems containsNonDate="0" containsDate="1" containsString="0" containsBlank="1" minDate="2021-07-14T00:00:00" maxDate="2021-07-15T00:00:00"/>
    </cacheField>
    <cacheField name="date created" numFmtId="0">
      <sharedItems containsNonDate="0" containsDate="1" containsString="0" containsBlank="1" minDate="2012-03-04T00:00:00" maxDate="2020-02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1"/>
    <x v="0"/>
    <s v="Commander-in-Chief  of the  Continental Army   ( 1775â€“1783 )"/>
    <x v="0"/>
    <s v="John Adams"/>
    <n v="5000"/>
    <d v="2021-07-14T00:00:00"/>
    <d v="2012-03-04T00:00:00"/>
  </r>
  <r>
    <n v="2"/>
    <x v="1"/>
    <s v="1st  Vice President of the United States"/>
    <x v="1"/>
    <s v="Thomas Jefferson"/>
    <n v="10000"/>
    <d v="2021-07-14T00:00:00"/>
    <d v="2012-03-04T00:00:00"/>
  </r>
  <r>
    <n v="3"/>
    <x v="2"/>
    <s v="2nd  Vice President of the United States"/>
    <x v="2"/>
    <s v="    Aaron Burr"/>
    <n v="15000"/>
    <d v="2021-07-14T00:00:00"/>
    <d v="2012-03-04T00:00:00"/>
  </r>
  <r>
    <n v="4"/>
    <x v="3"/>
    <s v="5th  United States Secretary of State   (1801â€“1809)"/>
    <x v="2"/>
    <s v="George    Clinton"/>
    <n v="20000"/>
    <d v="2021-07-14T00:00:00"/>
    <d v="2012-03-04T00:00:00"/>
  </r>
  <r>
    <n v="5"/>
    <x v="4"/>
    <s v="7th  United States Secretary of State   (1811â€“1817)"/>
    <x v="2"/>
    <s v="Daniel D. Tompkins"/>
    <n v="25000"/>
    <d v="2021-07-14T00:00:00"/>
    <d v="2012-03-04T00:00:00"/>
  </r>
  <r>
    <n v="6"/>
    <x v="5"/>
    <s v="8th  United States Secretary of State   (1817â€“1825)"/>
    <x v="2"/>
    <s v="John C. Calhoun"/>
    <n v="30000"/>
    <d v="2021-07-14T00:00:00"/>
    <d v="2012-03-04T00:00:00"/>
  </r>
  <r>
    <n v="7"/>
    <x v="6"/>
    <s v="U.S. Senator   ( Class 2 )   from  Tennessee   (1823â€“1825)"/>
    <x v="3"/>
    <s v="John C.     Calhoun"/>
    <n v="35000"/>
    <d v="2021-07-14T00:00:00"/>
    <d v="2012-03-04T00:00:00"/>
  </r>
  <r>
    <n v="8"/>
    <x v="7"/>
    <s v="8th  Vice President of the United States"/>
    <x v="3"/>
    <s v="Richard Mentor Johnson"/>
    <n v="40000"/>
    <d v="2021-07-14T00:00:00"/>
    <d v="2012-03-04T00:00:00"/>
  </r>
  <r>
    <n v="9"/>
    <x v="8"/>
    <s v="United States Minister to Colombia   (1828â€“1829)"/>
    <x v="4"/>
    <s v="John Tyler"/>
    <n v="45000"/>
    <d v="2021-07-14T00:00:00"/>
    <d v="2012-03-04T00:00:00"/>
  </r>
  <r>
    <n v="10"/>
    <x v="9"/>
    <s v="10th  Vice President of the United States"/>
    <x v="5"/>
    <s v="Office vacant"/>
    <n v="50000"/>
    <d v="2021-07-14T00:00:00"/>
    <d v="2012-03-04T00:00:00"/>
  </r>
  <r>
    <n v="11"/>
    <x v="10"/>
    <s v="9th  Governor of Tennessee   (1839â€“1841)"/>
    <x v="3"/>
    <s v="George         M. Dallas"/>
    <n v="55000"/>
    <d v="2021-07-14T00:00:00"/>
    <d v="2012-03-04T00:00:00"/>
  </r>
  <r>
    <n v="12"/>
    <x v="11"/>
    <s v="Major General  of the  1st Infantry Regiment   United States Army   (1846â€“1849)"/>
    <x v="4"/>
    <s v="               Millard Fillmore"/>
    <n v="60000"/>
    <d v="2021-07-14T00:00:00"/>
    <d v="2012-03-04T00:00:00"/>
  </r>
  <r>
    <n v="13"/>
    <x v="12"/>
    <s v="12th  Vice President of the United States"/>
    <x v="4"/>
    <s v="Office vacant"/>
    <n v="65000"/>
    <d v="2021-07-14T00:00:00"/>
    <d v="2012-03-04T00:00:00"/>
  </r>
  <r>
    <n v="14"/>
    <x v="13"/>
    <s v="Brigadier General  of the  9th Infantry   United States Army   (1847â€“1848)"/>
    <x v="3"/>
    <s v="William R. King"/>
    <n v="75000"/>
    <d v="2021-07-14T00:00:00"/>
    <d v="2012-03-04T00:00:00"/>
  </r>
  <r>
    <n v="15"/>
    <x v="14"/>
    <s v="United States Minister  to the   Court of St James's   (1853â€“1856)"/>
    <x v="3"/>
    <s v="John C. Breckinridge"/>
    <n v="85000"/>
    <d v="2021-07-14T00:00:00"/>
    <d v="2012-03-04T00:00:00"/>
  </r>
  <r>
    <n v="16"/>
    <x v="15"/>
    <s v="U.S. Representative  for  Illinois' 7th District   (1847â€“1849)"/>
    <x v="6"/>
    <s v="Hannibal Hamlin"/>
    <n v="95000"/>
    <d v="2021-07-14T00:00:00"/>
    <d v="2012-03-04T00:00:00"/>
  </r>
  <r>
    <n v="17"/>
    <x v="16"/>
    <s v="16th  Vice President of the United States"/>
    <x v="3"/>
    <s v="Office vacant"/>
    <n v="105000"/>
    <d v="2021-07-14T00:00:00"/>
    <d v="2012-03-04T00:00:00"/>
  </r>
  <r>
    <n v="18"/>
    <x v="17"/>
    <s v="Commanding General  of the U.S. Army   ( 1864â€“1869 )"/>
    <x v="6"/>
    <s v="Schuyler Colfax"/>
    <n v="115000"/>
    <d v="2021-07-14T00:00:00"/>
    <d v="2012-03-04T00:00:00"/>
  </r>
  <r>
    <n v="19"/>
    <x v="18"/>
    <s v="29th &amp; 32nd  Governor of Ohio   (1868â€“1872 &amp; 1876â€“1877)"/>
    <x v="6"/>
    <s v="William A. Wheeler"/>
    <n v="125000"/>
    <d v="2021-07-14T00:00:00"/>
    <d v="2012-03-04T00:00:00"/>
  </r>
  <r>
    <n v="20"/>
    <x v="19"/>
    <s v="U.S. Representative  for  Ohio's 19th District   (1863â€“1881)"/>
    <x v="6"/>
    <s v="Chester A. Arthur"/>
    <n v="135000"/>
    <d v="2021-07-14T00:00:00"/>
    <d v="2012-03-04T00:00:00"/>
  </r>
  <r>
    <n v="21"/>
    <x v="20"/>
    <s v="20th  Vice President of the United States"/>
    <x v="6"/>
    <s v="Office vacant"/>
    <n v="145000"/>
    <d v="2021-07-14T00:00:00"/>
    <d v="2012-03-04T00:00:00"/>
  </r>
  <r>
    <n v="22"/>
    <x v="21"/>
    <s v="28th  Governor of New York   (1883â€“1885)"/>
    <x v="3"/>
    <s v="Thomas A. Hendricks"/>
    <n v="155000"/>
    <d v="2021-07-14T00:00:00"/>
    <d v="2012-03-04T00:00:00"/>
  </r>
  <r>
    <n v="23"/>
    <x v="22"/>
    <s v="U.S. Senator   ( Class 1 )   from  Indiana   (1881â€“1887)"/>
    <x v="6"/>
    <s v="Levi P. Morton"/>
    <n v="165000"/>
    <d v="2021-07-14T00:00:00"/>
    <d v="2012-03-04T00:00:00"/>
  </r>
  <r>
    <n v="24"/>
    <x v="21"/>
    <s v="22nd  President of the United States   (1885â€“1889)"/>
    <x v="3"/>
    <s v="Adlai Stevenson"/>
    <n v="175000"/>
    <d v="2021-07-14T00:00:00"/>
    <d v="2012-03-04T00:00:00"/>
  </r>
  <r>
    <n v="25"/>
    <x v="23"/>
    <s v="39th  Governor of Ohio   (1892â€“1896)"/>
    <x v="6"/>
    <s v="Garret Hobart"/>
    <n v="185000"/>
    <d v="2021-07-14T00:00:00"/>
    <d v="2012-03-04T00:00:00"/>
  </r>
  <r>
    <n v="26"/>
    <x v="24"/>
    <s v="25th  Vice President of the United States"/>
    <x v="6"/>
    <s v="Office vacant"/>
    <n v="195000"/>
    <d v="2021-07-14T00:00:00"/>
    <d v="2012-03-04T00:00:00"/>
  </r>
  <r>
    <n v="27"/>
    <x v="25"/>
    <s v="42nd  United States Secretary of War   (1904â€“1908)"/>
    <x v="6"/>
    <s v="James S. Sherman"/>
    <n v="205000"/>
    <d v="2021-07-14T00:00:00"/>
    <d v="2012-03-04T00:00:00"/>
  </r>
  <r>
    <n v="28"/>
    <x v="26"/>
    <s v="34th  Governor of New Jersey   (1911â€“1913)"/>
    <x v="3"/>
    <s v="Thomas R. Marshall"/>
    <n v="225000"/>
    <d v="2021-07-14T00:00:00"/>
    <d v="2012-03-04T00:00:00"/>
  </r>
  <r>
    <n v="28"/>
    <x v="26"/>
    <s v="34th  Governor of New Jersey   (1911â€“1913)"/>
    <x v="7"/>
    <s v="Thomas R. Marshall"/>
    <n v="225000"/>
    <d v="2021-07-14T00:00:00"/>
    <d v="2012-03-04T00:00:00"/>
  </r>
  <r>
    <n v="29"/>
    <x v="27"/>
    <s v="U.S. Senator   ( Class 3 )   from  Ohio   (1915â€“1921)"/>
    <x v="6"/>
    <s v="Calvin Coolidge"/>
    <n v="235000"/>
    <d v="2021-07-14T00:00:00"/>
    <d v="2012-03-04T00:00:00"/>
  </r>
  <r>
    <n v="30"/>
    <x v="28"/>
    <s v="29th  Vice President of the United States"/>
    <x v="6"/>
    <s v="Office vacant"/>
    <n v="245000"/>
    <d v="2021-07-14T00:00:00"/>
    <d v="2012-03-04T00:00:00"/>
  </r>
  <r>
    <n v="31"/>
    <x v="29"/>
    <s v="3rd  United States Secretary of Commerce   (1921â€“1928)"/>
    <x v="6"/>
    <s v="Charles Curtis"/>
    <n v="255000"/>
    <d v="2021-07-14T00:00:00"/>
    <d v="2012-03-04T00:00:00"/>
  </r>
  <r>
    <n v="32"/>
    <x v="30"/>
    <s v="44th  Governor of New York   ( 1929â€“1932 )"/>
    <x v="3"/>
    <s v="John Nance Garner"/>
    <n v="265000"/>
    <d v="2021-07-14T00:00:00"/>
    <d v="2012-03-04T00:00:00"/>
  </r>
  <r>
    <n v="33"/>
    <x v="31"/>
    <s v="34th  Vice President of the United States"/>
    <x v="3"/>
    <s v="Office vacant"/>
    <n v="275000"/>
    <d v="2021-07-14T00:00:00"/>
    <d v="2012-03-04T00:00:00"/>
  </r>
  <r>
    <n v="34"/>
    <x v="32"/>
    <s v="Supreme Allied Commander Europe   ( 1949â€“1952 )"/>
    <x v="6"/>
    <s v="Richard Nixon"/>
    <n v="285000"/>
    <d v="2021-07-14T00:00:00"/>
    <d v="2012-03-04T00:00:00"/>
  </r>
  <r>
    <n v="35"/>
    <x v="33"/>
    <s v="U.S. Senator   ( Class 1 )   from  Massachusetts   (1953â€“1960)"/>
    <x v="3"/>
    <s v="Lyndon B. Johnson"/>
    <n v="295000"/>
    <d v="2021-07-14T00:00:00"/>
    <d v="2012-03-04T00:00:00"/>
  </r>
  <r>
    <n v="36"/>
    <x v="34"/>
    <s v="37th  Vice President of the United States"/>
    <x v="3"/>
    <s v="Office vacant"/>
    <n v="305000"/>
    <d v="2021-07-14T00:00:00"/>
    <d v="2012-03-04T00:00:00"/>
  </r>
  <r>
    <n v="37"/>
    <x v="35"/>
    <s v="36th  Vice President of the United States   (1953â€“1961)"/>
    <x v="6"/>
    <s v="Spiro Agnew"/>
    <n v="315000"/>
    <d v="2021-07-14T00:00:00"/>
    <d v="2012-03-04T00:00:00"/>
  </r>
  <r>
    <n v="38"/>
    <x v="36"/>
    <s v="40th  Vice President of the United States"/>
    <x v="6"/>
    <s v="Office vacant"/>
    <n v="325000"/>
    <d v="2021-07-14T00:00:00"/>
    <d v="2012-03-04T00:00:00"/>
  </r>
  <r>
    <n v="39"/>
    <x v="37"/>
    <s v="76th  Governor of Georgia   (1971â€“1975)"/>
    <x v="3"/>
    <s v="Walter Mondale"/>
    <n v="335000"/>
    <d v="2021-07-14T00:00:00"/>
    <d v="2012-03-04T00:00:00"/>
  </r>
  <r>
    <n v="40"/>
    <x v="38"/>
    <s v="33rd  Governor of California   ( 1967â€“1975 )"/>
    <x v="6"/>
    <s v="George H. W. Bush"/>
    <n v="345000"/>
    <d v="2021-07-14T00:00:00"/>
    <d v="2012-03-04T00:00:00"/>
  </r>
  <r>
    <n v="41"/>
    <x v="39"/>
    <s v="43rd  Vice President of the United States"/>
    <x v="6"/>
    <s v="Dan Quayle"/>
    <n v="355000"/>
    <d v="2021-07-14T00:00:00"/>
    <d v="2012-03-04T00:00:00"/>
  </r>
  <r>
    <n v="42"/>
    <x v="40"/>
    <s v="40th &amp; 42nd  Governor of Arkansas   (1979â€“1981 &amp; 1983â€“1992)"/>
    <x v="3"/>
    <s v="Al Gore"/>
    <n v="365000"/>
    <d v="2021-07-14T00:00:00"/>
    <d v="2012-03-04T00:00:00"/>
  </r>
  <r>
    <n v="43"/>
    <x v="41"/>
    <s v="46th  Governor of Texas   ( 1995â€“2000 )"/>
    <x v="6"/>
    <s v="Dick Cheney"/>
    <n v="375000"/>
    <d v="2021-07-14T00:00:00"/>
    <d v="2012-03-04T00:00:00"/>
  </r>
  <r>
    <n v="44"/>
    <x v="42"/>
    <s v="U.S. Senator   ( Class 3 )   from  Illinois   ( 2005â€“2008 )"/>
    <x v="3"/>
    <s v="Joe Biden"/>
    <n v="395000"/>
    <d v="2021-07-14T00:00:00"/>
    <d v="2020-02-01T00:00:00"/>
  </r>
  <r>
    <n v="44"/>
    <x v="42"/>
    <s v="U.S. Senator   ( Class 3 )   from  Illinois   ( 2005â€“2008 )"/>
    <x v="3"/>
    <s v="Joe Biden"/>
    <n v="395000"/>
    <d v="2021-07-14T00:00:00"/>
    <d v="2020-02-01T00:00:00"/>
  </r>
  <r>
    <n v="45"/>
    <x v="43"/>
    <s v="Chairman of   The Trump Organization   ( 1971â€“present )"/>
    <x v="8"/>
    <s v="Mike Pence"/>
    <n v="405000"/>
    <d v="2021-07-14T00:00:00"/>
    <d v="2020-02-01T00:00:00"/>
  </r>
  <r>
    <m/>
    <x v="44"/>
    <m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B4EE3-4525-44F6-8EE6-66DC26918D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8">
    <pivotField showAll="0"/>
    <pivotField axis="axisRow" showAll="0">
      <items count="46">
        <item x="15"/>
        <item x="6"/>
        <item x="16"/>
        <item x="42"/>
        <item x="22"/>
        <item x="40"/>
        <item x="28"/>
        <item x="20"/>
        <item x="43"/>
        <item x="32"/>
        <item x="30"/>
        <item x="13"/>
        <item x="39"/>
        <item x="41"/>
        <item x="0"/>
        <item x="36"/>
        <item x="21"/>
        <item x="31"/>
        <item x="29"/>
        <item x="19"/>
        <item x="14"/>
        <item x="10"/>
        <item x="3"/>
        <item x="4"/>
        <item x="37"/>
        <item x="1"/>
        <item x="33"/>
        <item x="5"/>
        <item x="9"/>
        <item x="34"/>
        <item x="7"/>
        <item x="12"/>
        <item x="35"/>
        <item x="38"/>
        <item x="18"/>
        <item x="24"/>
        <item x="2"/>
        <item x="17"/>
        <item x="27"/>
        <item x="8"/>
        <item x="25"/>
        <item x="23"/>
        <item x="26"/>
        <item x="11"/>
        <item x="44"/>
        <item t="default"/>
      </items>
    </pivotField>
    <pivotField showAll="0"/>
    <pivotField axis="axisRow" showAll="0" sortType="descending">
      <items count="11">
        <item sd="0" x="3"/>
        <item sd="0" x="2"/>
        <item sd="0" x="7"/>
        <item sd="0" x="1"/>
        <item sd="0" x="0"/>
        <item sd="0" x="6"/>
        <item sd="0" x="8"/>
        <item sd="0" x="4"/>
        <item sd="0" x="5"/>
        <item sd="0" x="9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2">
    <field x="3"/>
    <field x="1"/>
  </rowFields>
  <rowItems count="11">
    <i>
      <x v="5"/>
    </i>
    <i>
      <x/>
    </i>
    <i>
      <x v="6"/>
    </i>
    <i>
      <x v="2"/>
    </i>
    <i>
      <x v="7"/>
    </i>
    <i>
      <x v="1"/>
    </i>
    <i>
      <x v="8"/>
    </i>
    <i>
      <x v="3"/>
    </i>
    <i>
      <x v="4"/>
    </i>
    <i>
      <x v="9"/>
    </i>
    <i t="grand">
      <x/>
    </i>
  </rowItems>
  <colItems count="1">
    <i/>
  </colItems>
  <dataFields count="1">
    <dataField name="REVENUE" fld="5" showDataAs="percentOfTotal" baseField="3" baseItem="0" numFmtId="10"/>
  </dataFields>
  <formats count="6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A72B-CDF8-4754-B73E-1F6E9A8EC660}">
  <dimension ref="A3:B32"/>
  <sheetViews>
    <sheetView workbookViewId="0">
      <selection activeCell="E16" sqref="E16"/>
    </sheetView>
  </sheetViews>
  <sheetFormatPr defaultRowHeight="14.4" x14ac:dyDescent="0.3"/>
  <cols>
    <col min="1" max="1" width="41.109375" bestFit="1" customWidth="1"/>
    <col min="2" max="2" width="10.109375" style="4" bestFit="1" customWidth="1"/>
  </cols>
  <sheetData>
    <row r="3" spans="1:2" x14ac:dyDescent="0.3">
      <c r="A3" s="2" t="s">
        <v>132</v>
      </c>
      <c r="B3" s="4" t="s">
        <v>135</v>
      </c>
    </row>
    <row r="4" spans="1:2" x14ac:dyDescent="0.3">
      <c r="A4" s="3" t="s">
        <v>55</v>
      </c>
      <c r="B4" s="5">
        <v>0.47481181239143022</v>
      </c>
    </row>
    <row r="5" spans="1:2" x14ac:dyDescent="0.3">
      <c r="A5" s="3" t="s">
        <v>24</v>
      </c>
      <c r="B5" s="5">
        <v>0.41459177764910249</v>
      </c>
    </row>
    <row r="6" spans="1:2" x14ac:dyDescent="0.3">
      <c r="A6" s="3" t="s">
        <v>127</v>
      </c>
      <c r="B6" s="5">
        <v>4.6902142443543716E-2</v>
      </c>
    </row>
    <row r="7" spans="1:2" x14ac:dyDescent="0.3">
      <c r="A7" s="3" t="s">
        <v>128</v>
      </c>
      <c r="B7" s="5">
        <v>2.605674580196873E-2</v>
      </c>
    </row>
    <row r="8" spans="1:2" x14ac:dyDescent="0.3">
      <c r="A8" s="3" t="s">
        <v>30</v>
      </c>
      <c r="B8" s="5">
        <v>1.9687319050376375E-2</v>
      </c>
    </row>
    <row r="9" spans="1:2" x14ac:dyDescent="0.3">
      <c r="A9" s="3" t="s">
        <v>13</v>
      </c>
      <c r="B9" s="5">
        <v>1.0422698320787493E-2</v>
      </c>
    </row>
    <row r="10" spans="1:2" x14ac:dyDescent="0.3">
      <c r="A10" s="3" t="s">
        <v>34</v>
      </c>
      <c r="B10" s="5">
        <v>5.7903879559930514E-3</v>
      </c>
    </row>
    <row r="11" spans="1:2" x14ac:dyDescent="0.3">
      <c r="A11" s="3" t="s">
        <v>10</v>
      </c>
      <c r="B11" s="5">
        <v>1.1580775911986102E-3</v>
      </c>
    </row>
    <row r="12" spans="1:2" x14ac:dyDescent="0.3">
      <c r="A12" s="3" t="s">
        <v>126</v>
      </c>
      <c r="B12" s="5">
        <v>5.7903879559930511E-4</v>
      </c>
    </row>
    <row r="13" spans="1:2" x14ac:dyDescent="0.3">
      <c r="A13" s="3" t="s">
        <v>134</v>
      </c>
      <c r="B13" s="5">
        <v>0</v>
      </c>
    </row>
    <row r="14" spans="1:2" x14ac:dyDescent="0.3">
      <c r="A14" s="3" t="s">
        <v>133</v>
      </c>
      <c r="B14" s="5">
        <v>1</v>
      </c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workbookViewId="0">
      <selection activeCell="G2" sqref="G2"/>
    </sheetView>
  </sheetViews>
  <sheetFormatPr defaultColWidth="23.5546875" defaultRowHeight="14.4" x14ac:dyDescent="0.3"/>
  <cols>
    <col min="9" max="9" width="23.5546875" style="6"/>
    <col min="10" max="11" width="23.5546875" style="1"/>
  </cols>
  <sheetData>
    <row r="1" spans="1:13" x14ac:dyDescent="0.3">
      <c r="A1" t="s">
        <v>0</v>
      </c>
      <c r="B1" t="s">
        <v>1</v>
      </c>
      <c r="C1" t="s">
        <v>136</v>
      </c>
      <c r="D1" t="s">
        <v>2</v>
      </c>
      <c r="E1" t="s">
        <v>3</v>
      </c>
      <c r="F1" t="s">
        <v>139</v>
      </c>
      <c r="G1" t="s">
        <v>4</v>
      </c>
      <c r="I1" s="6" t="s">
        <v>129</v>
      </c>
      <c r="J1" s="1" t="s">
        <v>131</v>
      </c>
      <c r="K1" s="1" t="s">
        <v>130</v>
      </c>
      <c r="L1" t="s">
        <v>137</v>
      </c>
      <c r="M1" t="s">
        <v>138</v>
      </c>
    </row>
    <row r="2" spans="1:13" x14ac:dyDescent="0.3">
      <c r="A2">
        <v>1</v>
      </c>
      <c r="B2" t="s">
        <v>5</v>
      </c>
      <c r="C2" t="str">
        <f>UPPER(B2)</f>
        <v>GEORGE WASHINGTON</v>
      </c>
      <c r="D2" t="s">
        <v>6</v>
      </c>
      <c r="E2" t="s">
        <v>126</v>
      </c>
      <c r="F2" t="str">
        <f>TRIM(G2)</f>
        <v>John Adams</v>
      </c>
      <c r="G2" t="s">
        <v>7</v>
      </c>
      <c r="H2" t="str">
        <f>TRIM(G2)</f>
        <v>John Adams</v>
      </c>
      <c r="I2" s="6">
        <v>5000</v>
      </c>
      <c r="J2" s="1">
        <v>44391</v>
      </c>
      <c r="K2" s="1">
        <v>40972</v>
      </c>
      <c r="L2" t="str">
        <f>TEXT(J2,"dd-mm-yyyy")</f>
        <v>14-07-2021</v>
      </c>
      <c r="M2" t="str">
        <f>SUBSTITUTE(L2,"-","/")</f>
        <v>14/07/2021</v>
      </c>
    </row>
    <row r="3" spans="1:13" x14ac:dyDescent="0.3">
      <c r="A3">
        <v>2</v>
      </c>
      <c r="B3" t="s">
        <v>8</v>
      </c>
      <c r="C3" t="str">
        <f t="shared" ref="C3:C47" si="0">UPPER(B3)</f>
        <v>JOHN ADAMS</v>
      </c>
      <c r="D3" t="s">
        <v>9</v>
      </c>
      <c r="E3" t="s">
        <v>10</v>
      </c>
      <c r="F3" t="str">
        <f t="shared" ref="F3:F48" si="1">TRIM(G3)</f>
        <v>Thomas Jefferson</v>
      </c>
      <c r="G3" t="s">
        <v>11</v>
      </c>
      <c r="H3" t="str">
        <f t="shared" ref="H3:H48" si="2">TRIM(G3)</f>
        <v>Thomas Jefferson</v>
      </c>
      <c r="I3" s="6">
        <v>10000</v>
      </c>
      <c r="J3" s="1">
        <v>44391</v>
      </c>
      <c r="K3" s="1">
        <v>40972</v>
      </c>
      <c r="L3" t="str">
        <f t="shared" ref="L3:L48" si="3">TEXT(J3,"dd-mm-yyyy")</f>
        <v>14-07-2021</v>
      </c>
      <c r="M3" t="str">
        <f t="shared" ref="M3:M48" si="4">SUBSTITUTE(L3,"-","/")</f>
        <v>14/07/2021</v>
      </c>
    </row>
    <row r="4" spans="1:13" x14ac:dyDescent="0.3">
      <c r="A4">
        <v>3</v>
      </c>
      <c r="B4" t="s">
        <v>11</v>
      </c>
      <c r="C4" t="str">
        <f t="shared" si="0"/>
        <v>THOMAS JEFFERSON</v>
      </c>
      <c r="D4" t="s">
        <v>12</v>
      </c>
      <c r="E4" t="s">
        <v>13</v>
      </c>
      <c r="F4" t="str">
        <f t="shared" si="1"/>
        <v>Aaron Burr</v>
      </c>
      <c r="G4" t="s">
        <v>140</v>
      </c>
      <c r="H4" t="str">
        <f t="shared" si="2"/>
        <v>Aaron Burr</v>
      </c>
      <c r="I4" s="6">
        <v>15000</v>
      </c>
      <c r="J4" s="1">
        <v>44391</v>
      </c>
      <c r="K4" s="1">
        <v>40972</v>
      </c>
      <c r="L4" t="str">
        <f t="shared" si="3"/>
        <v>14-07-2021</v>
      </c>
      <c r="M4" t="str">
        <f t="shared" si="4"/>
        <v>14/07/2021</v>
      </c>
    </row>
    <row r="5" spans="1:13" x14ac:dyDescent="0.3">
      <c r="A5">
        <v>4</v>
      </c>
      <c r="B5" t="s">
        <v>14</v>
      </c>
      <c r="C5" t="str">
        <f t="shared" si="0"/>
        <v>JAMES MADISON</v>
      </c>
      <c r="D5" t="s">
        <v>15</v>
      </c>
      <c r="E5" t="s">
        <v>13</v>
      </c>
      <c r="F5" t="str">
        <f t="shared" si="1"/>
        <v>George Clinton</v>
      </c>
      <c r="G5" t="s">
        <v>141</v>
      </c>
      <c r="H5" t="str">
        <f t="shared" si="2"/>
        <v>George Clinton</v>
      </c>
      <c r="I5" s="6">
        <v>20000</v>
      </c>
      <c r="J5" s="1">
        <v>44391</v>
      </c>
      <c r="K5" s="1">
        <v>40972</v>
      </c>
      <c r="L5" t="str">
        <f t="shared" si="3"/>
        <v>14-07-2021</v>
      </c>
      <c r="M5" t="str">
        <f t="shared" si="4"/>
        <v>14/07/2021</v>
      </c>
    </row>
    <row r="6" spans="1:13" x14ac:dyDescent="0.3">
      <c r="A6">
        <v>5</v>
      </c>
      <c r="B6" t="s">
        <v>16</v>
      </c>
      <c r="C6" t="str">
        <f t="shared" si="0"/>
        <v>JAMES MONROE</v>
      </c>
      <c r="D6" t="s">
        <v>17</v>
      </c>
      <c r="E6" t="s">
        <v>13</v>
      </c>
      <c r="F6" t="str">
        <f t="shared" si="1"/>
        <v>Daniel D. Tompkins</v>
      </c>
      <c r="G6" t="s">
        <v>18</v>
      </c>
      <c r="H6" t="str">
        <f t="shared" si="2"/>
        <v>Daniel D. Tompkins</v>
      </c>
      <c r="I6" s="6">
        <v>25000</v>
      </c>
      <c r="J6" s="1">
        <v>44391</v>
      </c>
      <c r="K6" s="1">
        <v>40972</v>
      </c>
      <c r="L6" t="str">
        <f t="shared" si="3"/>
        <v>14-07-2021</v>
      </c>
      <c r="M6" t="str">
        <f t="shared" si="4"/>
        <v>14/07/2021</v>
      </c>
    </row>
    <row r="7" spans="1:13" x14ac:dyDescent="0.3">
      <c r="A7">
        <v>6</v>
      </c>
      <c r="B7" t="s">
        <v>19</v>
      </c>
      <c r="C7" t="str">
        <f t="shared" si="0"/>
        <v>JOHN QUINCY ADAMS</v>
      </c>
      <c r="D7" t="s">
        <v>20</v>
      </c>
      <c r="E7" t="s">
        <v>13</v>
      </c>
      <c r="F7" t="str">
        <f t="shared" si="1"/>
        <v>John C. Calhoun</v>
      </c>
      <c r="G7" t="s">
        <v>21</v>
      </c>
      <c r="H7" t="str">
        <f t="shared" si="2"/>
        <v>John C. Calhoun</v>
      </c>
      <c r="I7" s="6">
        <v>30000</v>
      </c>
      <c r="J7" s="1">
        <v>44391</v>
      </c>
      <c r="K7" s="1">
        <v>40972</v>
      </c>
      <c r="L7" t="str">
        <f t="shared" si="3"/>
        <v>14-07-2021</v>
      </c>
      <c r="M7" t="str">
        <f t="shared" si="4"/>
        <v>14/07/2021</v>
      </c>
    </row>
    <row r="8" spans="1:13" x14ac:dyDescent="0.3">
      <c r="A8">
        <v>7</v>
      </c>
      <c r="B8" t="s">
        <v>22</v>
      </c>
      <c r="C8" t="str">
        <f t="shared" si="0"/>
        <v>ANDREW JACKSON</v>
      </c>
      <c r="D8" t="s">
        <v>23</v>
      </c>
      <c r="E8" t="s">
        <v>24</v>
      </c>
      <c r="F8" t="str">
        <f t="shared" si="1"/>
        <v>John C. Calhoun</v>
      </c>
      <c r="G8" t="s">
        <v>21</v>
      </c>
      <c r="H8" t="str">
        <f t="shared" si="2"/>
        <v>John C. Calhoun</v>
      </c>
      <c r="I8" s="6">
        <v>35000</v>
      </c>
      <c r="J8" s="1">
        <v>44391</v>
      </c>
      <c r="K8" s="1">
        <v>40972</v>
      </c>
      <c r="L8" t="str">
        <f t="shared" si="3"/>
        <v>14-07-2021</v>
      </c>
      <c r="M8" t="str">
        <f t="shared" si="4"/>
        <v>14/07/2021</v>
      </c>
    </row>
    <row r="9" spans="1:13" x14ac:dyDescent="0.3">
      <c r="A9">
        <v>8</v>
      </c>
      <c r="B9" t="s">
        <v>25</v>
      </c>
      <c r="C9" t="str">
        <f t="shared" si="0"/>
        <v>MARTIN VAN BUREN</v>
      </c>
      <c r="D9" t="s">
        <v>26</v>
      </c>
      <c r="E9" t="s">
        <v>24</v>
      </c>
      <c r="F9" t="str">
        <f t="shared" si="1"/>
        <v>Richard Mentor Johnson</v>
      </c>
      <c r="G9" t="s">
        <v>27</v>
      </c>
      <c r="H9" t="str">
        <f t="shared" si="2"/>
        <v>Richard Mentor Johnson</v>
      </c>
      <c r="I9" s="6">
        <v>40000</v>
      </c>
      <c r="J9" s="1">
        <v>44391</v>
      </c>
      <c r="K9" s="1">
        <v>40972</v>
      </c>
      <c r="L9" t="str">
        <f t="shared" si="3"/>
        <v>14-07-2021</v>
      </c>
      <c r="M9" t="str">
        <f t="shared" si="4"/>
        <v>14/07/2021</v>
      </c>
    </row>
    <row r="10" spans="1:13" x14ac:dyDescent="0.3">
      <c r="A10">
        <v>9</v>
      </c>
      <c r="B10" t="s">
        <v>28</v>
      </c>
      <c r="C10" t="str">
        <f t="shared" si="0"/>
        <v>WILLIAM HENRY HARRISON</v>
      </c>
      <c r="D10" t="s">
        <v>29</v>
      </c>
      <c r="E10" t="s">
        <v>30</v>
      </c>
      <c r="F10" t="str">
        <f t="shared" si="1"/>
        <v>John Tyler</v>
      </c>
      <c r="G10" t="s">
        <v>31</v>
      </c>
      <c r="H10" t="str">
        <f t="shared" si="2"/>
        <v>John Tyler</v>
      </c>
      <c r="I10" s="6">
        <v>45000</v>
      </c>
      <c r="J10" s="1">
        <v>44391</v>
      </c>
      <c r="K10" s="1">
        <v>40972</v>
      </c>
      <c r="L10" t="str">
        <f t="shared" si="3"/>
        <v>14-07-2021</v>
      </c>
      <c r="M10" t="str">
        <f t="shared" si="4"/>
        <v>14/07/2021</v>
      </c>
    </row>
    <row r="11" spans="1:13" x14ac:dyDescent="0.3">
      <c r="A11">
        <v>10</v>
      </c>
      <c r="B11" t="s">
        <v>32</v>
      </c>
      <c r="C11" t="str">
        <f t="shared" si="0"/>
        <v>JOHN TYLER</v>
      </c>
      <c r="D11" t="s">
        <v>33</v>
      </c>
      <c r="E11" t="s">
        <v>30</v>
      </c>
      <c r="F11" t="str">
        <f t="shared" si="1"/>
        <v>Office vacant</v>
      </c>
      <c r="G11" t="s">
        <v>35</v>
      </c>
      <c r="H11" t="str">
        <f t="shared" si="2"/>
        <v>Office vacant</v>
      </c>
      <c r="I11" s="6">
        <v>50000</v>
      </c>
      <c r="J11" s="1">
        <v>44391</v>
      </c>
      <c r="K11" s="1">
        <v>40972</v>
      </c>
      <c r="L11" t="str">
        <f t="shared" si="3"/>
        <v>14-07-2021</v>
      </c>
      <c r="M11" t="str">
        <f t="shared" si="4"/>
        <v>14/07/2021</v>
      </c>
    </row>
    <row r="12" spans="1:13" x14ac:dyDescent="0.3">
      <c r="A12">
        <v>11</v>
      </c>
      <c r="B12" t="s">
        <v>36</v>
      </c>
      <c r="C12" t="str">
        <f t="shared" si="0"/>
        <v>JAMES K. POLK</v>
      </c>
      <c r="D12" t="s">
        <v>37</v>
      </c>
      <c r="E12" t="s">
        <v>24</v>
      </c>
      <c r="F12" t="str">
        <f t="shared" si="1"/>
        <v>George M. Dallas</v>
      </c>
      <c r="G12" t="s">
        <v>142</v>
      </c>
      <c r="H12" t="str">
        <f t="shared" si="2"/>
        <v>George M. Dallas</v>
      </c>
      <c r="I12" s="6">
        <v>55000</v>
      </c>
      <c r="J12" s="1">
        <v>44391</v>
      </c>
      <c r="K12" s="1">
        <v>40972</v>
      </c>
      <c r="L12" t="str">
        <f t="shared" si="3"/>
        <v>14-07-2021</v>
      </c>
      <c r="M12" t="str">
        <f t="shared" si="4"/>
        <v>14/07/2021</v>
      </c>
    </row>
    <row r="13" spans="1:13" x14ac:dyDescent="0.3">
      <c r="A13">
        <v>12</v>
      </c>
      <c r="B13" t="s">
        <v>38</v>
      </c>
      <c r="C13" t="str">
        <f t="shared" si="0"/>
        <v>ZACHARY TAYLOR</v>
      </c>
      <c r="D13" t="s">
        <v>39</v>
      </c>
      <c r="E13" t="s">
        <v>30</v>
      </c>
      <c r="F13" t="str">
        <f t="shared" si="1"/>
        <v>Millard Fillmore</v>
      </c>
      <c r="G13" t="s">
        <v>40</v>
      </c>
      <c r="H13" t="str">
        <f t="shared" si="2"/>
        <v>Millard Fillmore</v>
      </c>
      <c r="I13" s="6">
        <v>60000</v>
      </c>
      <c r="J13" s="1">
        <v>44391</v>
      </c>
      <c r="K13" s="1">
        <v>40972</v>
      </c>
      <c r="L13" t="str">
        <f t="shared" si="3"/>
        <v>14-07-2021</v>
      </c>
      <c r="M13" t="str">
        <f t="shared" si="4"/>
        <v>14/07/2021</v>
      </c>
    </row>
    <row r="14" spans="1:13" x14ac:dyDescent="0.3">
      <c r="A14">
        <v>13</v>
      </c>
      <c r="B14" t="s">
        <v>40</v>
      </c>
      <c r="C14" t="str">
        <f t="shared" si="0"/>
        <v>MILLARD FILLMORE</v>
      </c>
      <c r="D14" t="s">
        <v>41</v>
      </c>
      <c r="E14" t="s">
        <v>30</v>
      </c>
      <c r="F14" t="str">
        <f t="shared" si="1"/>
        <v>Office vacant</v>
      </c>
      <c r="G14" t="s">
        <v>35</v>
      </c>
      <c r="H14" t="str">
        <f t="shared" si="2"/>
        <v>Office vacant</v>
      </c>
      <c r="I14" s="6">
        <v>65000</v>
      </c>
      <c r="J14" s="1">
        <v>44391</v>
      </c>
      <c r="K14" s="1">
        <v>40972</v>
      </c>
      <c r="L14" t="str">
        <f t="shared" si="3"/>
        <v>14-07-2021</v>
      </c>
      <c r="M14" t="str">
        <f t="shared" si="4"/>
        <v>14/07/2021</v>
      </c>
    </row>
    <row r="15" spans="1:13" x14ac:dyDescent="0.3">
      <c r="A15">
        <v>14</v>
      </c>
      <c r="B15" t="s">
        <v>42</v>
      </c>
      <c r="C15" t="str">
        <f t="shared" si="0"/>
        <v>FRANKLIN PIERCE</v>
      </c>
      <c r="D15" t="s">
        <v>43</v>
      </c>
      <c r="E15" t="s">
        <v>24</v>
      </c>
      <c r="F15" t="str">
        <f t="shared" si="1"/>
        <v>William R. King</v>
      </c>
      <c r="G15" t="s">
        <v>44</v>
      </c>
      <c r="H15" t="str">
        <f t="shared" si="2"/>
        <v>William R. King</v>
      </c>
      <c r="I15" s="6">
        <v>75000</v>
      </c>
      <c r="J15" s="1">
        <v>44391</v>
      </c>
      <c r="K15" s="1">
        <v>40972</v>
      </c>
      <c r="L15" t="str">
        <f t="shared" si="3"/>
        <v>14-07-2021</v>
      </c>
      <c r="M15" t="str">
        <f t="shared" si="4"/>
        <v>14/07/2021</v>
      </c>
    </row>
    <row r="16" spans="1:13" x14ac:dyDescent="0.3">
      <c r="A16">
        <v>15</v>
      </c>
      <c r="B16" t="s">
        <v>45</v>
      </c>
      <c r="C16" t="str">
        <f t="shared" si="0"/>
        <v>JAMES BUCHANAN</v>
      </c>
      <c r="D16" t="s">
        <v>46</v>
      </c>
      <c r="E16" t="s">
        <v>24</v>
      </c>
      <c r="F16" t="str">
        <f t="shared" si="1"/>
        <v>John C. Breckinridge</v>
      </c>
      <c r="G16" t="s">
        <v>47</v>
      </c>
      <c r="H16" t="str">
        <f t="shared" si="2"/>
        <v>John C. Breckinridge</v>
      </c>
      <c r="I16" s="6">
        <v>85000</v>
      </c>
      <c r="J16" s="1">
        <v>44391</v>
      </c>
      <c r="K16" s="1">
        <v>40972</v>
      </c>
      <c r="L16" t="str">
        <f t="shared" si="3"/>
        <v>14-07-2021</v>
      </c>
      <c r="M16" t="str">
        <f t="shared" si="4"/>
        <v>14/07/2021</v>
      </c>
    </row>
    <row r="17" spans="1:13" x14ac:dyDescent="0.3">
      <c r="A17">
        <v>16</v>
      </c>
      <c r="B17" t="s">
        <v>48</v>
      </c>
      <c r="C17" t="str">
        <f t="shared" si="0"/>
        <v>ABRAHAM LINCOLN</v>
      </c>
      <c r="D17" t="s">
        <v>49</v>
      </c>
      <c r="E17" t="s">
        <v>55</v>
      </c>
      <c r="F17" t="str">
        <f t="shared" si="1"/>
        <v>Hannibal Hamlin</v>
      </c>
      <c r="G17" t="s">
        <v>50</v>
      </c>
      <c r="H17" t="str">
        <f t="shared" si="2"/>
        <v>Hannibal Hamlin</v>
      </c>
      <c r="I17" s="6">
        <v>95000</v>
      </c>
      <c r="J17" s="1">
        <v>44391</v>
      </c>
      <c r="K17" s="1">
        <v>40972</v>
      </c>
      <c r="L17" t="str">
        <f t="shared" si="3"/>
        <v>14-07-2021</v>
      </c>
      <c r="M17" t="str">
        <f t="shared" si="4"/>
        <v>14/07/2021</v>
      </c>
    </row>
    <row r="18" spans="1:13" x14ac:dyDescent="0.3">
      <c r="A18">
        <v>17</v>
      </c>
      <c r="B18" t="s">
        <v>51</v>
      </c>
      <c r="C18" t="str">
        <f t="shared" si="0"/>
        <v>ANDREW JOHNSON</v>
      </c>
      <c r="D18" t="s">
        <v>52</v>
      </c>
      <c r="E18" t="s">
        <v>24</v>
      </c>
      <c r="F18" t="str">
        <f t="shared" si="1"/>
        <v>Office vacant</v>
      </c>
      <c r="G18" t="s">
        <v>35</v>
      </c>
      <c r="H18" t="str">
        <f t="shared" si="2"/>
        <v>Office vacant</v>
      </c>
      <c r="I18" s="6">
        <v>105000</v>
      </c>
      <c r="J18" s="1">
        <v>44391</v>
      </c>
      <c r="K18" s="1">
        <v>40972</v>
      </c>
      <c r="L18" t="str">
        <f t="shared" si="3"/>
        <v>14-07-2021</v>
      </c>
      <c r="M18" t="str">
        <f t="shared" si="4"/>
        <v>14/07/2021</v>
      </c>
    </row>
    <row r="19" spans="1:13" x14ac:dyDescent="0.3">
      <c r="A19">
        <v>18</v>
      </c>
      <c r="B19" t="s">
        <v>53</v>
      </c>
      <c r="C19" t="str">
        <f t="shared" si="0"/>
        <v>ULYSSES S. GRANT</v>
      </c>
      <c r="D19" t="s">
        <v>54</v>
      </c>
      <c r="E19" t="s">
        <v>55</v>
      </c>
      <c r="F19" t="str">
        <f t="shared" si="1"/>
        <v>Schuyler Colfax</v>
      </c>
      <c r="G19" t="s">
        <v>56</v>
      </c>
      <c r="H19" t="str">
        <f t="shared" si="2"/>
        <v>Schuyler Colfax</v>
      </c>
      <c r="I19" s="6">
        <v>115000</v>
      </c>
      <c r="J19" s="1">
        <v>44391</v>
      </c>
      <c r="K19" s="1">
        <v>40972</v>
      </c>
      <c r="L19" t="str">
        <f t="shared" si="3"/>
        <v>14-07-2021</v>
      </c>
      <c r="M19" t="str">
        <f t="shared" si="4"/>
        <v>14/07/2021</v>
      </c>
    </row>
    <row r="20" spans="1:13" x14ac:dyDescent="0.3">
      <c r="A20">
        <v>19</v>
      </c>
      <c r="B20" t="s">
        <v>57</v>
      </c>
      <c r="C20" t="str">
        <f t="shared" si="0"/>
        <v>RUTHERFORD B. HAYES</v>
      </c>
      <c r="D20" t="s">
        <v>58</v>
      </c>
      <c r="E20" t="s">
        <v>55</v>
      </c>
      <c r="F20" t="str">
        <f t="shared" si="1"/>
        <v>William A. Wheeler</v>
      </c>
      <c r="G20" t="s">
        <v>59</v>
      </c>
      <c r="H20" t="str">
        <f t="shared" si="2"/>
        <v>William A. Wheeler</v>
      </c>
      <c r="I20" s="6">
        <v>125000</v>
      </c>
      <c r="J20" s="1">
        <v>44391</v>
      </c>
      <c r="K20" s="1">
        <v>40972</v>
      </c>
      <c r="L20" t="str">
        <f t="shared" si="3"/>
        <v>14-07-2021</v>
      </c>
      <c r="M20" t="str">
        <f t="shared" si="4"/>
        <v>14/07/2021</v>
      </c>
    </row>
    <row r="21" spans="1:13" x14ac:dyDescent="0.3">
      <c r="A21">
        <v>20</v>
      </c>
      <c r="B21" t="s">
        <v>60</v>
      </c>
      <c r="C21" t="str">
        <f t="shared" si="0"/>
        <v>JAMES A. GARFIELD</v>
      </c>
      <c r="D21" t="s">
        <v>61</v>
      </c>
      <c r="E21" t="s">
        <v>55</v>
      </c>
      <c r="F21" t="str">
        <f t="shared" si="1"/>
        <v>Chester A. Arthur</v>
      </c>
      <c r="G21" t="s">
        <v>62</v>
      </c>
      <c r="H21" t="str">
        <f t="shared" si="2"/>
        <v>Chester A. Arthur</v>
      </c>
      <c r="I21" s="6">
        <v>135000</v>
      </c>
      <c r="J21" s="1">
        <v>44391</v>
      </c>
      <c r="K21" s="1">
        <v>40972</v>
      </c>
      <c r="L21" t="str">
        <f t="shared" si="3"/>
        <v>14-07-2021</v>
      </c>
      <c r="M21" t="str">
        <f t="shared" si="4"/>
        <v>14/07/2021</v>
      </c>
    </row>
    <row r="22" spans="1:13" x14ac:dyDescent="0.3">
      <c r="A22">
        <v>21</v>
      </c>
      <c r="B22" t="s">
        <v>62</v>
      </c>
      <c r="C22" t="str">
        <f t="shared" si="0"/>
        <v>CHESTER A. ARTHUR</v>
      </c>
      <c r="D22" t="s">
        <v>63</v>
      </c>
      <c r="E22" t="s">
        <v>55</v>
      </c>
      <c r="F22" t="str">
        <f t="shared" si="1"/>
        <v>Office vacant</v>
      </c>
      <c r="G22" t="s">
        <v>35</v>
      </c>
      <c r="H22" t="str">
        <f t="shared" si="2"/>
        <v>Office vacant</v>
      </c>
      <c r="I22" s="6">
        <v>145000</v>
      </c>
      <c r="J22" s="1">
        <v>44391</v>
      </c>
      <c r="K22" s="1">
        <v>40972</v>
      </c>
      <c r="L22" t="str">
        <f t="shared" si="3"/>
        <v>14-07-2021</v>
      </c>
      <c r="M22" t="str">
        <f t="shared" si="4"/>
        <v>14/07/2021</v>
      </c>
    </row>
    <row r="23" spans="1:13" x14ac:dyDescent="0.3">
      <c r="A23">
        <v>22</v>
      </c>
      <c r="B23" t="s">
        <v>64</v>
      </c>
      <c r="C23" t="str">
        <f t="shared" si="0"/>
        <v>GROVER CLEVELAND</v>
      </c>
      <c r="D23" t="s">
        <v>65</v>
      </c>
      <c r="E23" t="s">
        <v>24</v>
      </c>
      <c r="F23" t="str">
        <f t="shared" si="1"/>
        <v>Thomas A. Hendricks</v>
      </c>
      <c r="G23" t="s">
        <v>66</v>
      </c>
      <c r="H23" t="str">
        <f t="shared" si="2"/>
        <v>Thomas A. Hendricks</v>
      </c>
      <c r="I23" s="6">
        <v>155000</v>
      </c>
      <c r="J23" s="1">
        <v>44391</v>
      </c>
      <c r="K23" s="1">
        <v>40972</v>
      </c>
      <c r="L23" t="str">
        <f t="shared" si="3"/>
        <v>14-07-2021</v>
      </c>
      <c r="M23" t="str">
        <f t="shared" si="4"/>
        <v>14/07/2021</v>
      </c>
    </row>
    <row r="24" spans="1:13" x14ac:dyDescent="0.3">
      <c r="A24">
        <v>23</v>
      </c>
      <c r="B24" t="s">
        <v>67</v>
      </c>
      <c r="C24" t="str">
        <f t="shared" si="0"/>
        <v>BENJAMIN HARRISON</v>
      </c>
      <c r="D24" t="s">
        <v>68</v>
      </c>
      <c r="E24" t="s">
        <v>55</v>
      </c>
      <c r="F24" t="str">
        <f t="shared" si="1"/>
        <v>Levi P. Morton</v>
      </c>
      <c r="G24" t="s">
        <v>69</v>
      </c>
      <c r="H24" t="str">
        <f t="shared" si="2"/>
        <v>Levi P. Morton</v>
      </c>
      <c r="I24" s="6">
        <v>165000</v>
      </c>
      <c r="J24" s="1">
        <v>44391</v>
      </c>
      <c r="K24" s="1">
        <v>40972</v>
      </c>
      <c r="L24" t="str">
        <f t="shared" si="3"/>
        <v>14-07-2021</v>
      </c>
      <c r="M24" t="str">
        <f t="shared" si="4"/>
        <v>14/07/2021</v>
      </c>
    </row>
    <row r="25" spans="1:13" x14ac:dyDescent="0.3">
      <c r="A25">
        <v>24</v>
      </c>
      <c r="B25" t="s">
        <v>64</v>
      </c>
      <c r="C25" t="str">
        <f t="shared" si="0"/>
        <v>GROVER CLEVELAND</v>
      </c>
      <c r="D25" t="s">
        <v>70</v>
      </c>
      <c r="E25" t="s">
        <v>24</v>
      </c>
      <c r="F25" t="str">
        <f t="shared" si="1"/>
        <v>Adlai Stevenson</v>
      </c>
      <c r="G25" t="s">
        <v>71</v>
      </c>
      <c r="H25" t="str">
        <f t="shared" si="2"/>
        <v>Adlai Stevenson</v>
      </c>
      <c r="I25" s="6">
        <v>175000</v>
      </c>
      <c r="J25" s="1">
        <v>44391</v>
      </c>
      <c r="K25" s="1">
        <v>40972</v>
      </c>
      <c r="L25" t="str">
        <f t="shared" si="3"/>
        <v>14-07-2021</v>
      </c>
      <c r="M25" t="str">
        <f t="shared" si="4"/>
        <v>14/07/2021</v>
      </c>
    </row>
    <row r="26" spans="1:13" x14ac:dyDescent="0.3">
      <c r="A26">
        <v>25</v>
      </c>
      <c r="B26" t="s">
        <v>72</v>
      </c>
      <c r="C26" t="str">
        <f t="shared" si="0"/>
        <v>WILLIAM MCKINLEY</v>
      </c>
      <c r="D26" t="s">
        <v>73</v>
      </c>
      <c r="E26" t="s">
        <v>55</v>
      </c>
      <c r="F26" t="str">
        <f t="shared" si="1"/>
        <v>Garret Hobart</v>
      </c>
      <c r="G26" t="s">
        <v>74</v>
      </c>
      <c r="H26" t="str">
        <f t="shared" si="2"/>
        <v>Garret Hobart</v>
      </c>
      <c r="I26" s="6">
        <v>185000</v>
      </c>
      <c r="J26" s="1">
        <v>44391</v>
      </c>
      <c r="K26" s="1">
        <v>40972</v>
      </c>
      <c r="L26" t="str">
        <f t="shared" si="3"/>
        <v>14-07-2021</v>
      </c>
      <c r="M26" t="str">
        <f t="shared" si="4"/>
        <v>14/07/2021</v>
      </c>
    </row>
    <row r="27" spans="1:13" x14ac:dyDescent="0.3">
      <c r="A27">
        <v>26</v>
      </c>
      <c r="B27" t="s">
        <v>75</v>
      </c>
      <c r="C27" t="str">
        <f t="shared" si="0"/>
        <v>THEODORE ROOSEVELT</v>
      </c>
      <c r="D27" t="s">
        <v>76</v>
      </c>
      <c r="E27" t="s">
        <v>55</v>
      </c>
      <c r="F27" t="str">
        <f t="shared" si="1"/>
        <v>Office vacant</v>
      </c>
      <c r="G27" t="s">
        <v>35</v>
      </c>
      <c r="H27" t="str">
        <f t="shared" si="2"/>
        <v>Office vacant</v>
      </c>
      <c r="I27" s="6">
        <v>195000</v>
      </c>
      <c r="J27" s="1">
        <v>44391</v>
      </c>
      <c r="K27" s="1">
        <v>40972</v>
      </c>
      <c r="L27" t="str">
        <f t="shared" si="3"/>
        <v>14-07-2021</v>
      </c>
      <c r="M27" t="str">
        <f t="shared" si="4"/>
        <v>14/07/2021</v>
      </c>
    </row>
    <row r="28" spans="1:13" x14ac:dyDescent="0.3">
      <c r="A28">
        <v>27</v>
      </c>
      <c r="B28" t="s">
        <v>77</v>
      </c>
      <c r="C28" t="str">
        <f t="shared" si="0"/>
        <v>WILLIAM HOWARD TAFT</v>
      </c>
      <c r="D28" t="s">
        <v>78</v>
      </c>
      <c r="E28" t="s">
        <v>55</v>
      </c>
      <c r="F28" t="str">
        <f t="shared" si="1"/>
        <v>James S. Sherman</v>
      </c>
      <c r="G28" t="s">
        <v>79</v>
      </c>
      <c r="H28" t="str">
        <f t="shared" si="2"/>
        <v>James S. Sherman</v>
      </c>
      <c r="I28" s="6">
        <v>205000</v>
      </c>
      <c r="J28" s="1">
        <v>44391</v>
      </c>
      <c r="K28" s="1">
        <v>40972</v>
      </c>
      <c r="L28" t="str">
        <f t="shared" si="3"/>
        <v>14-07-2021</v>
      </c>
      <c r="M28" t="str">
        <f t="shared" si="4"/>
        <v>14/07/2021</v>
      </c>
    </row>
    <row r="29" spans="1:13" x14ac:dyDescent="0.3">
      <c r="A29">
        <v>28</v>
      </c>
      <c r="B29" t="s">
        <v>80</v>
      </c>
      <c r="C29" t="str">
        <f t="shared" si="0"/>
        <v>WOODROW WILSON</v>
      </c>
      <c r="D29" t="s">
        <v>81</v>
      </c>
      <c r="E29" t="s">
        <v>24</v>
      </c>
      <c r="F29" t="str">
        <f t="shared" si="1"/>
        <v>Thomas R. Marshall</v>
      </c>
      <c r="G29" t="s">
        <v>82</v>
      </c>
      <c r="H29" t="str">
        <f t="shared" si="2"/>
        <v>Thomas R. Marshall</v>
      </c>
      <c r="I29" s="6">
        <v>225000</v>
      </c>
      <c r="J29" s="1">
        <v>44391</v>
      </c>
      <c r="K29" s="1">
        <v>40972</v>
      </c>
      <c r="L29" t="str">
        <f t="shared" si="3"/>
        <v>14-07-2021</v>
      </c>
      <c r="M29" t="str">
        <f t="shared" si="4"/>
        <v>14/07/2021</v>
      </c>
    </row>
    <row r="30" spans="1:13" x14ac:dyDescent="0.3">
      <c r="A30">
        <v>28</v>
      </c>
      <c r="B30" t="s">
        <v>80</v>
      </c>
      <c r="C30" t="str">
        <f t="shared" si="0"/>
        <v>WOODROW WILSON</v>
      </c>
      <c r="D30" t="s">
        <v>81</v>
      </c>
      <c r="E30" t="s">
        <v>128</v>
      </c>
      <c r="F30" t="str">
        <f t="shared" si="1"/>
        <v>Thomas R. Marshall</v>
      </c>
      <c r="G30" t="s">
        <v>82</v>
      </c>
      <c r="H30" t="str">
        <f t="shared" si="2"/>
        <v>Thomas R. Marshall</v>
      </c>
      <c r="I30" s="6">
        <v>225000</v>
      </c>
      <c r="J30" s="1">
        <v>44391</v>
      </c>
      <c r="K30" s="1">
        <v>40972</v>
      </c>
      <c r="L30" t="str">
        <f t="shared" si="3"/>
        <v>14-07-2021</v>
      </c>
      <c r="M30" t="str">
        <f t="shared" si="4"/>
        <v>14/07/2021</v>
      </c>
    </row>
    <row r="31" spans="1:13" x14ac:dyDescent="0.3">
      <c r="A31">
        <v>29</v>
      </c>
      <c r="B31" t="s">
        <v>83</v>
      </c>
      <c r="C31" t="str">
        <f t="shared" si="0"/>
        <v>WARREN G. HARDING</v>
      </c>
      <c r="D31" t="s">
        <v>84</v>
      </c>
      <c r="E31" t="s">
        <v>55</v>
      </c>
      <c r="F31" t="str">
        <f t="shared" si="1"/>
        <v>Calvin Coolidge</v>
      </c>
      <c r="G31" t="s">
        <v>85</v>
      </c>
      <c r="H31" t="str">
        <f t="shared" si="2"/>
        <v>Calvin Coolidge</v>
      </c>
      <c r="I31" s="6">
        <v>235000</v>
      </c>
      <c r="J31" s="1">
        <v>44391</v>
      </c>
      <c r="K31" s="1">
        <v>40972</v>
      </c>
      <c r="L31" t="str">
        <f t="shared" si="3"/>
        <v>14-07-2021</v>
      </c>
      <c r="M31" t="str">
        <f t="shared" si="4"/>
        <v>14/07/2021</v>
      </c>
    </row>
    <row r="32" spans="1:13" x14ac:dyDescent="0.3">
      <c r="A32">
        <v>30</v>
      </c>
      <c r="B32" t="s">
        <v>85</v>
      </c>
      <c r="C32" t="str">
        <f t="shared" si="0"/>
        <v>CALVIN COOLIDGE</v>
      </c>
      <c r="D32" t="s">
        <v>86</v>
      </c>
      <c r="E32" t="s">
        <v>55</v>
      </c>
      <c r="F32" t="str">
        <f t="shared" si="1"/>
        <v>Office vacant</v>
      </c>
      <c r="G32" t="s">
        <v>35</v>
      </c>
      <c r="H32" t="str">
        <f t="shared" si="2"/>
        <v>Office vacant</v>
      </c>
      <c r="I32" s="6">
        <v>245000</v>
      </c>
      <c r="J32" s="1">
        <v>44391</v>
      </c>
      <c r="K32" s="1">
        <v>40972</v>
      </c>
      <c r="L32" t="str">
        <f t="shared" si="3"/>
        <v>14-07-2021</v>
      </c>
      <c r="M32" t="str">
        <f t="shared" si="4"/>
        <v>14/07/2021</v>
      </c>
    </row>
    <row r="33" spans="1:13" x14ac:dyDescent="0.3">
      <c r="A33">
        <v>31</v>
      </c>
      <c r="B33" t="s">
        <v>87</v>
      </c>
      <c r="C33" t="str">
        <f t="shared" si="0"/>
        <v>HERBERT HOOVER</v>
      </c>
      <c r="D33" t="s">
        <v>88</v>
      </c>
      <c r="E33" t="s">
        <v>55</v>
      </c>
      <c r="F33" t="str">
        <f t="shared" si="1"/>
        <v>Charles Curtis</v>
      </c>
      <c r="G33" t="s">
        <v>89</v>
      </c>
      <c r="H33" t="str">
        <f t="shared" si="2"/>
        <v>Charles Curtis</v>
      </c>
      <c r="I33" s="6">
        <v>255000</v>
      </c>
      <c r="J33" s="1">
        <v>44391</v>
      </c>
      <c r="K33" s="1">
        <v>40972</v>
      </c>
      <c r="L33" t="str">
        <f t="shared" si="3"/>
        <v>14-07-2021</v>
      </c>
      <c r="M33" t="str">
        <f t="shared" si="4"/>
        <v>14/07/2021</v>
      </c>
    </row>
    <row r="34" spans="1:13" x14ac:dyDescent="0.3">
      <c r="A34">
        <v>32</v>
      </c>
      <c r="B34" t="s">
        <v>90</v>
      </c>
      <c r="C34" t="str">
        <f t="shared" si="0"/>
        <v>FRANKLIN D. ROOSEVELT</v>
      </c>
      <c r="D34" t="s">
        <v>91</v>
      </c>
      <c r="E34" t="s">
        <v>24</v>
      </c>
      <c r="F34" t="str">
        <f t="shared" si="1"/>
        <v>John Nance Garner</v>
      </c>
      <c r="G34" t="s">
        <v>92</v>
      </c>
      <c r="H34" t="str">
        <f t="shared" si="2"/>
        <v>John Nance Garner</v>
      </c>
      <c r="I34" s="6">
        <v>265000</v>
      </c>
      <c r="J34" s="1">
        <v>44391</v>
      </c>
      <c r="K34" s="1">
        <v>40972</v>
      </c>
      <c r="L34" t="str">
        <f t="shared" si="3"/>
        <v>14-07-2021</v>
      </c>
      <c r="M34" t="str">
        <f t="shared" si="4"/>
        <v>14/07/2021</v>
      </c>
    </row>
    <row r="35" spans="1:13" x14ac:dyDescent="0.3">
      <c r="A35">
        <v>33</v>
      </c>
      <c r="B35" t="s">
        <v>93</v>
      </c>
      <c r="C35" t="str">
        <f t="shared" si="0"/>
        <v>HARRY S. TRUMAN</v>
      </c>
      <c r="D35" t="s">
        <v>94</v>
      </c>
      <c r="E35" t="s">
        <v>24</v>
      </c>
      <c r="F35" t="str">
        <f t="shared" si="1"/>
        <v>Office vacant</v>
      </c>
      <c r="G35" t="s">
        <v>35</v>
      </c>
      <c r="H35" t="str">
        <f t="shared" si="2"/>
        <v>Office vacant</v>
      </c>
      <c r="I35" s="6">
        <v>275000</v>
      </c>
      <c r="J35" s="1">
        <v>44391</v>
      </c>
      <c r="K35" s="1">
        <v>40972</v>
      </c>
      <c r="L35" t="str">
        <f t="shared" si="3"/>
        <v>14-07-2021</v>
      </c>
      <c r="M35" t="str">
        <f t="shared" si="4"/>
        <v>14/07/2021</v>
      </c>
    </row>
    <row r="36" spans="1:13" x14ac:dyDescent="0.3">
      <c r="A36">
        <v>34</v>
      </c>
      <c r="B36" t="s">
        <v>95</v>
      </c>
      <c r="C36" t="str">
        <f t="shared" si="0"/>
        <v>DWIGHT D. EISENHOWER</v>
      </c>
      <c r="D36" t="s">
        <v>96</v>
      </c>
      <c r="E36" t="s">
        <v>55</v>
      </c>
      <c r="F36" t="str">
        <f t="shared" si="1"/>
        <v>Richard Nixon</v>
      </c>
      <c r="G36" t="s">
        <v>97</v>
      </c>
      <c r="H36" t="str">
        <f t="shared" si="2"/>
        <v>Richard Nixon</v>
      </c>
      <c r="I36" s="6">
        <v>285000</v>
      </c>
      <c r="J36" s="1">
        <v>44391</v>
      </c>
      <c r="K36" s="1">
        <v>40972</v>
      </c>
      <c r="L36" t="str">
        <f t="shared" si="3"/>
        <v>14-07-2021</v>
      </c>
      <c r="M36" t="str">
        <f t="shared" si="4"/>
        <v>14/07/2021</v>
      </c>
    </row>
    <row r="37" spans="1:13" x14ac:dyDescent="0.3">
      <c r="A37">
        <v>35</v>
      </c>
      <c r="B37" t="s">
        <v>98</v>
      </c>
      <c r="C37" t="str">
        <f t="shared" si="0"/>
        <v>JOHN F. KENNEDY</v>
      </c>
      <c r="D37" t="s">
        <v>99</v>
      </c>
      <c r="E37" t="s">
        <v>24</v>
      </c>
      <c r="F37" t="str">
        <f t="shared" si="1"/>
        <v>Lyndon B. Johnson</v>
      </c>
      <c r="G37" t="s">
        <v>100</v>
      </c>
      <c r="H37" t="str">
        <f t="shared" si="2"/>
        <v>Lyndon B. Johnson</v>
      </c>
      <c r="I37" s="6">
        <v>295000</v>
      </c>
      <c r="J37" s="1">
        <v>44391</v>
      </c>
      <c r="K37" s="1">
        <v>40972</v>
      </c>
      <c r="L37" t="str">
        <f t="shared" si="3"/>
        <v>14-07-2021</v>
      </c>
      <c r="M37" t="str">
        <f t="shared" si="4"/>
        <v>14/07/2021</v>
      </c>
    </row>
    <row r="38" spans="1:13" x14ac:dyDescent="0.3">
      <c r="A38">
        <v>36</v>
      </c>
      <c r="B38" t="s">
        <v>100</v>
      </c>
      <c r="C38" t="str">
        <f t="shared" si="0"/>
        <v>LYNDON B. JOHNSON</v>
      </c>
      <c r="D38" t="s">
        <v>101</v>
      </c>
      <c r="E38" t="s">
        <v>24</v>
      </c>
      <c r="F38" t="str">
        <f t="shared" si="1"/>
        <v>Office vacant</v>
      </c>
      <c r="G38" t="s">
        <v>35</v>
      </c>
      <c r="H38" t="str">
        <f t="shared" si="2"/>
        <v>Office vacant</v>
      </c>
      <c r="I38" s="6">
        <v>305000</v>
      </c>
      <c r="J38" s="1">
        <v>44391</v>
      </c>
      <c r="K38" s="1">
        <v>40972</v>
      </c>
      <c r="L38" t="str">
        <f t="shared" si="3"/>
        <v>14-07-2021</v>
      </c>
      <c r="M38" t="str">
        <f t="shared" si="4"/>
        <v>14/07/2021</v>
      </c>
    </row>
    <row r="39" spans="1:13" x14ac:dyDescent="0.3">
      <c r="A39">
        <v>37</v>
      </c>
      <c r="B39" t="s">
        <v>97</v>
      </c>
      <c r="C39" t="str">
        <f t="shared" si="0"/>
        <v>RICHARD NIXON</v>
      </c>
      <c r="D39" t="s">
        <v>102</v>
      </c>
      <c r="E39" t="s">
        <v>55</v>
      </c>
      <c r="F39" t="str">
        <f t="shared" si="1"/>
        <v>Spiro Agnew</v>
      </c>
      <c r="G39" t="s">
        <v>103</v>
      </c>
      <c r="H39" t="str">
        <f t="shared" si="2"/>
        <v>Spiro Agnew</v>
      </c>
      <c r="I39" s="6">
        <v>315000</v>
      </c>
      <c r="J39" s="1">
        <v>44391</v>
      </c>
      <c r="K39" s="1">
        <v>40972</v>
      </c>
      <c r="L39" t="str">
        <f t="shared" si="3"/>
        <v>14-07-2021</v>
      </c>
      <c r="M39" t="str">
        <f t="shared" si="4"/>
        <v>14/07/2021</v>
      </c>
    </row>
    <row r="40" spans="1:13" x14ac:dyDescent="0.3">
      <c r="A40">
        <v>38</v>
      </c>
      <c r="B40" t="s">
        <v>104</v>
      </c>
      <c r="C40" t="str">
        <f t="shared" si="0"/>
        <v>GERALD FORD</v>
      </c>
      <c r="D40" t="s">
        <v>105</v>
      </c>
      <c r="E40" t="s">
        <v>55</v>
      </c>
      <c r="F40" t="str">
        <f t="shared" si="1"/>
        <v>Office vacant</v>
      </c>
      <c r="G40" t="s">
        <v>35</v>
      </c>
      <c r="H40" t="str">
        <f t="shared" si="2"/>
        <v>Office vacant</v>
      </c>
      <c r="I40" s="6">
        <v>325000</v>
      </c>
      <c r="J40" s="1">
        <v>44391</v>
      </c>
      <c r="K40" s="1">
        <v>40972</v>
      </c>
      <c r="L40" t="str">
        <f t="shared" si="3"/>
        <v>14-07-2021</v>
      </c>
      <c r="M40" t="str">
        <f t="shared" si="4"/>
        <v>14/07/2021</v>
      </c>
    </row>
    <row r="41" spans="1:13" x14ac:dyDescent="0.3">
      <c r="A41">
        <v>39</v>
      </c>
      <c r="B41" t="s">
        <v>106</v>
      </c>
      <c r="C41" t="str">
        <f t="shared" si="0"/>
        <v>JIMMY CARTER</v>
      </c>
      <c r="D41" t="s">
        <v>107</v>
      </c>
      <c r="E41" t="s">
        <v>24</v>
      </c>
      <c r="F41" t="str">
        <f t="shared" si="1"/>
        <v>Walter Mondale</v>
      </c>
      <c r="G41" t="s">
        <v>108</v>
      </c>
      <c r="H41" t="str">
        <f t="shared" si="2"/>
        <v>Walter Mondale</v>
      </c>
      <c r="I41" s="6">
        <v>335000</v>
      </c>
      <c r="J41" s="1">
        <v>44391</v>
      </c>
      <c r="K41" s="1">
        <v>40972</v>
      </c>
      <c r="L41" t="str">
        <f t="shared" si="3"/>
        <v>14-07-2021</v>
      </c>
      <c r="M41" t="str">
        <f t="shared" si="4"/>
        <v>14/07/2021</v>
      </c>
    </row>
    <row r="42" spans="1:13" x14ac:dyDescent="0.3">
      <c r="A42">
        <v>40</v>
      </c>
      <c r="B42" t="s">
        <v>109</v>
      </c>
      <c r="C42" t="str">
        <f t="shared" si="0"/>
        <v>RONALD REAGAN</v>
      </c>
      <c r="D42" t="s">
        <v>110</v>
      </c>
      <c r="E42" t="s">
        <v>55</v>
      </c>
      <c r="F42" t="str">
        <f t="shared" si="1"/>
        <v>George H. W. Bush</v>
      </c>
      <c r="G42" t="s">
        <v>111</v>
      </c>
      <c r="H42" t="str">
        <f t="shared" si="2"/>
        <v>George H. W. Bush</v>
      </c>
      <c r="I42" s="6">
        <v>345000</v>
      </c>
      <c r="J42" s="1">
        <v>44391</v>
      </c>
      <c r="K42" s="1">
        <v>40972</v>
      </c>
      <c r="L42" t="str">
        <f t="shared" si="3"/>
        <v>14-07-2021</v>
      </c>
      <c r="M42" t="str">
        <f t="shared" si="4"/>
        <v>14/07/2021</v>
      </c>
    </row>
    <row r="43" spans="1:13" x14ac:dyDescent="0.3">
      <c r="A43">
        <v>41</v>
      </c>
      <c r="B43" t="s">
        <v>111</v>
      </c>
      <c r="C43" t="str">
        <f t="shared" si="0"/>
        <v>GEORGE H. W. BUSH</v>
      </c>
      <c r="D43" t="s">
        <v>112</v>
      </c>
      <c r="E43" t="s">
        <v>55</v>
      </c>
      <c r="F43" t="str">
        <f t="shared" si="1"/>
        <v>Dan Quayle</v>
      </c>
      <c r="G43" t="s">
        <v>113</v>
      </c>
      <c r="H43" t="str">
        <f t="shared" si="2"/>
        <v>Dan Quayle</v>
      </c>
      <c r="I43" s="6">
        <v>355000</v>
      </c>
      <c r="J43" s="1">
        <v>44391</v>
      </c>
      <c r="K43" s="1">
        <v>40972</v>
      </c>
      <c r="L43" t="str">
        <f t="shared" si="3"/>
        <v>14-07-2021</v>
      </c>
      <c r="M43" t="str">
        <f t="shared" si="4"/>
        <v>14/07/2021</v>
      </c>
    </row>
    <row r="44" spans="1:13" x14ac:dyDescent="0.3">
      <c r="A44">
        <v>42</v>
      </c>
      <c r="B44" t="s">
        <v>114</v>
      </c>
      <c r="C44" t="str">
        <f t="shared" si="0"/>
        <v>BILL CLINTON</v>
      </c>
      <c r="D44" t="s">
        <v>115</v>
      </c>
      <c r="E44" t="s">
        <v>24</v>
      </c>
      <c r="F44" t="str">
        <f t="shared" si="1"/>
        <v>Al Gore</v>
      </c>
      <c r="G44" t="s">
        <v>116</v>
      </c>
      <c r="H44" t="str">
        <f t="shared" si="2"/>
        <v>Al Gore</v>
      </c>
      <c r="I44" s="6">
        <v>365000</v>
      </c>
      <c r="J44" s="1">
        <v>44391</v>
      </c>
      <c r="K44" s="1">
        <v>40972</v>
      </c>
      <c r="L44" t="str">
        <f t="shared" si="3"/>
        <v>14-07-2021</v>
      </c>
      <c r="M44" t="str">
        <f t="shared" si="4"/>
        <v>14/07/2021</v>
      </c>
    </row>
    <row r="45" spans="1:13" x14ac:dyDescent="0.3">
      <c r="A45">
        <v>43</v>
      </c>
      <c r="B45" t="s">
        <v>117</v>
      </c>
      <c r="C45" t="str">
        <f t="shared" si="0"/>
        <v>GEORGE W. BUSH</v>
      </c>
      <c r="D45" t="s">
        <v>118</v>
      </c>
      <c r="E45" t="s">
        <v>55</v>
      </c>
      <c r="F45" t="str">
        <f t="shared" si="1"/>
        <v>Dick Cheney</v>
      </c>
      <c r="G45" t="s">
        <v>119</v>
      </c>
      <c r="H45" t="str">
        <f t="shared" si="2"/>
        <v>Dick Cheney</v>
      </c>
      <c r="I45" s="6">
        <v>375000</v>
      </c>
      <c r="J45" s="1">
        <v>44391</v>
      </c>
      <c r="K45" s="1">
        <v>40972</v>
      </c>
      <c r="L45" t="str">
        <f t="shared" si="3"/>
        <v>14-07-2021</v>
      </c>
      <c r="M45" t="str">
        <f t="shared" si="4"/>
        <v>14/07/2021</v>
      </c>
    </row>
    <row r="46" spans="1:13" x14ac:dyDescent="0.3">
      <c r="A46">
        <v>44</v>
      </c>
      <c r="B46" t="s">
        <v>120</v>
      </c>
      <c r="C46" t="str">
        <f t="shared" si="0"/>
        <v>BARACK OBAMA</v>
      </c>
      <c r="D46" t="s">
        <v>121</v>
      </c>
      <c r="E46" t="s">
        <v>24</v>
      </c>
      <c r="F46" t="str">
        <f t="shared" si="1"/>
        <v>Joe Biden</v>
      </c>
      <c r="G46" t="s">
        <v>122</v>
      </c>
      <c r="H46" t="str">
        <f t="shared" si="2"/>
        <v>Joe Biden</v>
      </c>
      <c r="I46" s="6">
        <v>395000</v>
      </c>
      <c r="J46" s="1">
        <v>44391</v>
      </c>
      <c r="K46" s="1">
        <v>43862</v>
      </c>
      <c r="L46" t="str">
        <f t="shared" si="3"/>
        <v>14-07-2021</v>
      </c>
      <c r="M46" t="str">
        <f t="shared" si="4"/>
        <v>14/07/2021</v>
      </c>
    </row>
    <row r="47" spans="1:13" x14ac:dyDescent="0.3">
      <c r="A47">
        <v>45</v>
      </c>
      <c r="B47" t="s">
        <v>123</v>
      </c>
      <c r="C47" t="str">
        <f t="shared" si="0"/>
        <v>DONALD TRUMP</v>
      </c>
      <c r="D47" t="s">
        <v>124</v>
      </c>
      <c r="E47" t="s">
        <v>55</v>
      </c>
      <c r="F47" t="str">
        <f t="shared" si="1"/>
        <v>Mike Pence</v>
      </c>
      <c r="G47" t="s">
        <v>125</v>
      </c>
      <c r="H47" t="str">
        <f t="shared" si="2"/>
        <v>Mike Pence</v>
      </c>
      <c r="I47" s="6">
        <v>405000</v>
      </c>
      <c r="J47" s="1">
        <v>44391</v>
      </c>
      <c r="K47" s="1">
        <v>43862</v>
      </c>
      <c r="L47" t="str">
        <f t="shared" si="3"/>
        <v>14-07-2021</v>
      </c>
      <c r="M47" t="str">
        <f t="shared" si="4"/>
        <v>14/07/2021</v>
      </c>
    </row>
    <row r="48" spans="1:13" x14ac:dyDescent="0.3">
      <c r="F48" t="str">
        <f t="shared" si="1"/>
        <v/>
      </c>
      <c r="H48" t="str">
        <f t="shared" si="2"/>
        <v/>
      </c>
      <c r="L48" t="str">
        <f t="shared" si="3"/>
        <v>00-01-1900</v>
      </c>
      <c r="M48" t="str">
        <f t="shared" si="4"/>
        <v>00/01/1900</v>
      </c>
    </row>
  </sheetData>
  <autoFilter ref="A1:L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TY_16010122134_Aditya Patel Patel</cp:lastModifiedBy>
  <dcterms:created xsi:type="dcterms:W3CDTF">2022-02-27T01:14:16Z</dcterms:created>
  <dcterms:modified xsi:type="dcterms:W3CDTF">2026-04-05T07:56:06Z</dcterms:modified>
</cp:coreProperties>
</file>